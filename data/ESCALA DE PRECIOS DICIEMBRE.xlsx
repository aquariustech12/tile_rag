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Pisos Nacionales" r:id="rId1" sheetId="1"/>
    <sheet name="Pisos Importados" r:id="rId2" sheetId="2"/>
    <sheet name="Polvos" r:id="rId3" sheetId="3"/>
    <sheet name="Ceramica-Griferia" r:id="rId4" sheetId="4"/>
    <sheet name="Otras Categorias" r:id="rId5" sheetId="5"/>
    <sheet name="Descontinuados" r:id="rId6" sheetId="6"/>
    <sheet name="51-Promo del mes" r:id="rId7" sheetId="7"/>
  </sheets>
  <extLst/>
</workbook>
</file>

<file path=xl/sharedStrings.xml><?xml version="1.0" encoding="utf-8"?>
<sst xmlns="http://schemas.openxmlformats.org/spreadsheetml/2006/main" count="1923" uniqueCount="1923">
  <si>
    <t>Proveedor</t>
  </si>
  <si>
    <t>Estatus</t>
  </si>
  <si>
    <t>Categoría</t>
  </si>
  <si>
    <t>Subcategoria</t>
  </si>
  <si>
    <t>Codigo</t>
  </si>
  <si>
    <t xml:space="preserve">Descripcion </t>
  </si>
  <si>
    <t>Udm</t>
  </si>
  <si>
    <t>Metraje</t>
  </si>
  <si>
    <t>Formato</t>
  </si>
  <si>
    <t>Tipo</t>
  </si>
  <si>
    <t xml:space="preserve">Tipologia </t>
  </si>
  <si>
    <t>Color</t>
  </si>
  <si>
    <t>Acabado</t>
  </si>
  <si>
    <t>Corte</t>
  </si>
  <si>
    <t>Precio sistema Caja</t>
  </si>
  <si>
    <t>Precio Regular M2</t>
  </si>
  <si>
    <t xml:space="preserve">Descuento autorizado Oferta Final </t>
  </si>
  <si>
    <t xml:space="preserve">Oferta Final M2 </t>
  </si>
  <si>
    <t>Precio M2 con complementos</t>
  </si>
  <si>
    <t>Vitromex</t>
  </si>
  <si>
    <t>Master</t>
  </si>
  <si>
    <t xml:space="preserve">Pisos </t>
  </si>
  <si>
    <t>Pisos Vitromex</t>
  </si>
  <si>
    <t>PISO ROMA HUESO 37X37 CM 2.11 M2</t>
  </si>
  <si>
    <t>M2</t>
  </si>
  <si>
    <t>37x37</t>
  </si>
  <si>
    <t>Cerámico</t>
  </si>
  <si>
    <t>Marmol</t>
  </si>
  <si>
    <t>Beige</t>
  </si>
  <si>
    <t>Mate</t>
  </si>
  <si>
    <t>No Rectificado</t>
  </si>
  <si>
    <t>PISO ROMA GRIS 37X37 CM 2.11 M2/CAJA</t>
  </si>
  <si>
    <t>Gris</t>
  </si>
  <si>
    <t>PISO ROMA ARENA 37X37CM 2.11M2/CAJA</t>
  </si>
  <si>
    <t>520256427010131LOT</t>
  </si>
  <si>
    <t>MURO ROMA HUESO 20.1X30.2 CM 1.82 M2/CAJA</t>
  </si>
  <si>
    <t>20.1x30.2</t>
  </si>
  <si>
    <t>MURO ROMA GRIS 20.1X30.2 CM 1.82 M2/CAJA</t>
  </si>
  <si>
    <t>520256427026131LOT</t>
  </si>
  <si>
    <t>MURO ROMA ARENA 20.1X30.2 CM 1.82 M2/CAJA</t>
  </si>
  <si>
    <t>PISO BRUMA BLANCO 35.7X35.7 1.78 M2</t>
  </si>
  <si>
    <t>35.7x35.7</t>
  </si>
  <si>
    <t>Piedra</t>
  </si>
  <si>
    <t>Brillante</t>
  </si>
  <si>
    <t>PISO MILA BEIGE35.7x35.7 1.78 M2</t>
  </si>
  <si>
    <t>Daltile</t>
  </si>
  <si>
    <t>Pisos Daltile</t>
  </si>
  <si>
    <t>GZ3515151P7</t>
  </si>
  <si>
    <t>GZ35 37x37cm Navia Beige 1a. Cal  2.11M2</t>
  </si>
  <si>
    <t>GZ3615151P7</t>
  </si>
  <si>
    <t>GZ36 37x37cm Navia Gris 1a. Cal 2.11M2</t>
  </si>
  <si>
    <t>520963427010131LOT</t>
  </si>
  <si>
    <t>MURO ASPEN HUESO 20.1X30.2CM 1.82M2/CAJA</t>
  </si>
  <si>
    <t>520963425010261LOT</t>
  </si>
  <si>
    <t>PISO ASPEN HUESO 35.7X35.7 CM 1.78 M2</t>
  </si>
  <si>
    <t>PISO ASPEN BLANCO 35.7X35.7 CM 1.78 M2/CAJA</t>
  </si>
  <si>
    <t>Blanco</t>
  </si>
  <si>
    <t>PISO COSALA HAYA 35.7X35.7 CM 1.78 M2/CAJA</t>
  </si>
  <si>
    <t>Madera</t>
  </si>
  <si>
    <t>Café</t>
  </si>
  <si>
    <t>PISO XILITLA BLANCO 35.7X35.7 CM 1.78 M2/CAJA</t>
  </si>
  <si>
    <t>Monocolor</t>
  </si>
  <si>
    <t>PISO MARISMA NEGRO 37x37 CM 2.11 M2/CAJA</t>
  </si>
  <si>
    <t>Negro</t>
  </si>
  <si>
    <t>PISO ROMA HUESO 40.3X40.3 CM 1.62 M2</t>
  </si>
  <si>
    <t>40.3x40.3</t>
  </si>
  <si>
    <t>PISO ROMA GRIS 40.3X40.3 CM 1.62 M2 CAJA</t>
  </si>
  <si>
    <t>PISO ROMA ARENA 40.3X40.3 CM 1.62 M2 CAJA</t>
  </si>
  <si>
    <t>PISO CHAPALA FRESNO 18X60.6 CM 1.64 M2/CAJA</t>
  </si>
  <si>
    <t>18x60.6</t>
  </si>
  <si>
    <t>PISO CHAPALA PINO 18X60.6 CM 1.64 M2/CAJA</t>
  </si>
  <si>
    <t>PISO CHAPALA ALBINO 18X60.6 CM 1.64 M2/CAJA</t>
  </si>
  <si>
    <t>PISO CHAPALA MIEL 18X60.6 CM 1.64 M2/CAJA</t>
  </si>
  <si>
    <t>MURO MAZAMITLA AZUL 20.1X30.2 CM 1.82 M2/CAJA</t>
  </si>
  <si>
    <t>Azul</t>
  </si>
  <si>
    <t>MURO MAZAMITLA CREMA 20.1X30.2 CM 1.82 M2/CAJA</t>
  </si>
  <si>
    <t>MURO MAZAMITLA GRIS 20.1X30.2 CM 1.82 M2/CAJA</t>
  </si>
  <si>
    <t>MURO MAZAMITLA VERDE 20.1X30.2 CM 1.82 M2/CAJA</t>
  </si>
  <si>
    <t>Verde</t>
  </si>
  <si>
    <t>PISO MARMOLIZA BLANCO 35.7X35.7 1.78 M2</t>
  </si>
  <si>
    <t>PISO CHAPALA ABEDUL 18X60.6 CM 1.64 M2/CAJA</t>
  </si>
  <si>
    <t>GSZ12424C1P7</t>
  </si>
  <si>
    <t>GSZ1 60.5 cm x 60.5 cm Spazio Cream 1a. Cal. 1.825M2</t>
  </si>
  <si>
    <t>60.5x60.5</t>
  </si>
  <si>
    <t>PISO CANEA GRIS 45X45 CM 1.62 M2/CAJA</t>
  </si>
  <si>
    <t>45x45</t>
  </si>
  <si>
    <t>PISO CANEA MARRON 45X45 CM 1.62 M2/CAJA</t>
  </si>
  <si>
    <t>PISO CORFÚ BEIGE 45X45 CM 1.62 M2/CAJA</t>
  </si>
  <si>
    <t>PISO CORFÚ GRAFITO 45X45 CM 1.62M2 CAJA</t>
  </si>
  <si>
    <t>PISO VELVET MARFIL 45X45 CM 1.62 M2 CAJA</t>
  </si>
  <si>
    <t>ZLC015151P7</t>
  </si>
  <si>
    <t>ZLC0 37cm x 37cm Lucca Bianco 1a Cal. 2.11M2</t>
  </si>
  <si>
    <t>Renujal</t>
  </si>
  <si>
    <t xml:space="preserve">Pisos Renujal </t>
  </si>
  <si>
    <t>CAS2005 </t>
  </si>
  <si>
    <t>PISO OLYMPIA BIANCO 47X47 1.99M2</t>
  </si>
  <si>
    <t>47X47</t>
  </si>
  <si>
    <t>blanco</t>
  </si>
  <si>
    <t>Brillo</t>
  </si>
  <si>
    <t>Rectificado</t>
  </si>
  <si>
    <t>CAS20008</t>
  </si>
  <si>
    <t>PISO CARRARA GOLD 47X47 1.99M2</t>
  </si>
  <si>
    <t>CAS10024510</t>
  </si>
  <si>
    <t>HALO 66 IVORY 60X60 5 PZS 1.80M2</t>
  </si>
  <si>
    <t>60X60</t>
  </si>
  <si>
    <t>CAS10024511</t>
  </si>
  <si>
    <t>HALO 66 SILVER 60X60 5 PZS 1.80M2</t>
  </si>
  <si>
    <t>PISO AMAZONIAN CLIFF 18X60.6 CM 1.64 M2/CAJA TE</t>
  </si>
  <si>
    <t>CAS100138</t>
  </si>
  <si>
    <t>TANGER 26 ROBLE 22.5X60 14PZ 1.89M2</t>
  </si>
  <si>
    <t>22.5X60</t>
  </si>
  <si>
    <t>CAS100192</t>
  </si>
  <si>
    <t>TANGER 26 NOGAL 22.5X60 14PZ 1.89M2</t>
  </si>
  <si>
    <t>CAS100144</t>
  </si>
  <si>
    <t>TANGER 26 GRIS 22.5X60 14PZ 1.89M2</t>
  </si>
  <si>
    <t>CAS100184</t>
  </si>
  <si>
    <t>PISO FRESNO 26 NUEZ 22.5X60 14PZ 1.89M2</t>
  </si>
  <si>
    <t>CAS7694</t>
  </si>
  <si>
    <t>PISO AMAZONAS HONEY 22.5X60 1.89 M2</t>
  </si>
  <si>
    <t>ZDM1720B1P2</t>
  </si>
  <si>
    <t>ZDM1 18X50 Sunwood Natural 1a. Cal 1.08M2</t>
  </si>
  <si>
    <t>18x50</t>
  </si>
  <si>
    <t>GLD3720B1P2</t>
  </si>
  <si>
    <t>GLD3 18 cm x 50 cm Legend Natural 1a. Cal 1.08M2</t>
  </si>
  <si>
    <t>ZDM27241</t>
  </si>
  <si>
    <t>ZDM2 18 cm x 60 cm Sunwood Miel 1a. Cal 1.64 m2</t>
  </si>
  <si>
    <t>18x60</t>
  </si>
  <si>
    <t>ZLW57241</t>
  </si>
  <si>
    <t>ZLW5 18 cm x 60 cm Living Wood Gray 1a. Cal 1.64 m2</t>
  </si>
  <si>
    <t>CAS7695</t>
  </si>
  <si>
    <t>PISO AMAZONAS GREY 22.5X60 1.89 M2</t>
  </si>
  <si>
    <t>gris</t>
  </si>
  <si>
    <t>CAS7693</t>
  </si>
  <si>
    <t>PISO AMAZONAS CHERRY 22.5X60 1.89 M2</t>
  </si>
  <si>
    <t>CAS100145</t>
  </si>
  <si>
    <t>FRESNO 26 GRIS 22.5X60 14PZ 1.89M2</t>
  </si>
  <si>
    <t>CAS100137</t>
  </si>
  <si>
    <t>FRESNO 26 CHERRY 22.5X60 14PZ 1.89M2</t>
  </si>
  <si>
    <t>GZ3518181P7</t>
  </si>
  <si>
    <t>GZ35 45x45 Navia Beige 1a. Cal 1.63M2</t>
  </si>
  <si>
    <t>GZ3618181P7</t>
  </si>
  <si>
    <t>GZ36 45x45 Navia Gris 1a. Cal 1.63M2</t>
  </si>
  <si>
    <t>ZLC018181P7</t>
  </si>
  <si>
    <t>ZLC0 45x45 Lucca Bianco 1a Cal 1.63M2</t>
  </si>
  <si>
    <t>CAS10024503</t>
  </si>
  <si>
    <t>CALI 66 IVORY 60X60 5 PZS 1.80M2</t>
  </si>
  <si>
    <t>PISO ROMA ARENA 20.1X20.1 CM 1.53 M2 CAJA</t>
  </si>
  <si>
    <t>20.1x20.1</t>
  </si>
  <si>
    <t>PISO PERLAGE GRIS 20.1X20.1 CM 1.53 M2/CAJA</t>
  </si>
  <si>
    <t>PISO ALASKA BLACKBURN 45X45CM 1.62M2 CAJA</t>
  </si>
  <si>
    <t>PISO MAYA MULTICOLOR 45X45 CM 1.62 M2 CAJA</t>
  </si>
  <si>
    <t>PISO SENA MARFIL 45X45 CM 1.62 M2/CAJA</t>
  </si>
  <si>
    <t>PISO PETRERA GRIS 55.5X55.5 CM 1.54 M2/CAJA</t>
  </si>
  <si>
    <t>55.5x55.5</t>
  </si>
  <si>
    <t>Granito</t>
  </si>
  <si>
    <t>CAS10024505</t>
  </si>
  <si>
    <t>CALI 66 GREY 60X60 5 PZS 1.80M2</t>
  </si>
  <si>
    <t>CAS10024504</t>
  </si>
  <si>
    <t>CALI 66 WHITE 60X60 5 PZS 1.80M2</t>
  </si>
  <si>
    <t>CAS10024501</t>
  </si>
  <si>
    <t>GEO 66 IVORY 60X60 5 PZS 1.80M2</t>
  </si>
  <si>
    <t>CAS10024502</t>
  </si>
  <si>
    <t>GEO 66 SILVER 60X60 5 PZS 1.80M2</t>
  </si>
  <si>
    <t>CAS7691</t>
  </si>
  <si>
    <t>ACURA 66 GREY 60X60 1.80M2</t>
  </si>
  <si>
    <t>CAS10024509</t>
  </si>
  <si>
    <t>CALEDONIA 66 HAYA 60X60 5 PZS 1.80M2</t>
  </si>
  <si>
    <t>CAS10024508</t>
  </si>
  <si>
    <t>CALEDONIA 66 ROBLE 60X60 5 PZS 1.80M2</t>
  </si>
  <si>
    <t>PISO ARCTIC BLANCO 55.5x55.5 1.54 M2</t>
  </si>
  <si>
    <t>CAS786</t>
  </si>
  <si>
    <t>TULUM 60 STAR 60X60 5PZ 1.80M2</t>
  </si>
  <si>
    <t>CAS7692</t>
  </si>
  <si>
    <t>ACURA 66 TERRA 60X60 1.80M2</t>
  </si>
  <si>
    <t>CAS100154</t>
  </si>
  <si>
    <t>PISO CERAMICO TRAVERTINO BIANCO 60X60 1.80M2 5PZ</t>
  </si>
  <si>
    <t>Recto</t>
  </si>
  <si>
    <t>CAS775</t>
  </si>
  <si>
    <t>DOLOMITTI 66 IVORY 60X60 5PZ 1.80M2</t>
  </si>
  <si>
    <t>CAS774</t>
  </si>
  <si>
    <t>DOLOMITTI 66 BLACK 60X60 5PZ 1.80M2</t>
  </si>
  <si>
    <t>PISO VERONA GREY 20.1X20.1 CM 1.53 M2/CAJA</t>
  </si>
  <si>
    <t>PISO MONACO GRIS 20.1X20.1 CM 1.53 M2/CAJA</t>
  </si>
  <si>
    <t>PISO MONACO CAFE 20.1X20.1 CM 1.53 M2/CAJA</t>
  </si>
  <si>
    <t>PISO LISBOA GRIS 20.1X20.1 CM 1.53 M2/CAJA</t>
  </si>
  <si>
    <t>PISO LISBOA ALMENDRA 20.1X20.1 CM 1.53 M2/CAJA</t>
  </si>
  <si>
    <t>PISO LEMAT BEIGE 20.1X20.1 CM 1.53 M2 CAJA</t>
  </si>
  <si>
    <t>TESSUTI MIX 20.1X20.1 1.53M2</t>
  </si>
  <si>
    <t>PISO RODANO HUESO 55.5X55.5 CM 1.54 M2/CAJA</t>
  </si>
  <si>
    <t>522786279028201LOTE</t>
  </si>
  <si>
    <t>PISO NOVARA BEIGE 55.5X55.5 CM 1.54 M2 CAJA</t>
  </si>
  <si>
    <t>PISO NOVARA GRIGIO 55.5X55.5 CM 1.54 M2 CAJA</t>
  </si>
  <si>
    <t>PISO NOVARA NUBE 55.5X55.55 1.54 M2 CAJA</t>
  </si>
  <si>
    <t>55.5x55.55</t>
  </si>
  <si>
    <t>PISO BOUTIQUE CEMENTO 60.5X60.5 CM 1.83 M2</t>
  </si>
  <si>
    <t>Cemento</t>
  </si>
  <si>
    <t>PISO MARMARA BLANCO 60.5X60.5 CM 1.83 M2/CAJA</t>
  </si>
  <si>
    <t>CAS769</t>
  </si>
  <si>
    <t>VOSS 66 IVORY 60X60 5PZ 1.80M2</t>
  </si>
  <si>
    <t>PISO AMAZONIAN CAVE 18X60.6 CM 1.64 M2/CAJA</t>
  </si>
  <si>
    <t>PISO AMAZONIAN RIVER 18X60.6 CM 1.64 M2/CAJA TE</t>
  </si>
  <si>
    <t>MURO OSLO BLANCO 35.7X50.2 CM 1.79 M2/CAJA</t>
  </si>
  <si>
    <t>35.7x50.2</t>
  </si>
  <si>
    <t>PISO MARSALA ANTRACITA 60.5X60.5 CM 1.83 M2/CAJA</t>
  </si>
  <si>
    <t>PISO MARSALA NIEVE 60.5X60.5 CM 1.83 M2/CAJA</t>
  </si>
  <si>
    <t>PISO KAISER BR NEGRO 60.5X60.5 CM 1.83 M2/CAJA</t>
  </si>
  <si>
    <t>PISO EDIMBURGO NEGRO 60 CM X120 CM 1.44 M2/CAJA PUL Y RECT</t>
  </si>
  <si>
    <t>60x120</t>
  </si>
  <si>
    <t>Porcelánico</t>
  </si>
  <si>
    <t>Pulido</t>
  </si>
  <si>
    <t>PISO MARSALA ARENA 62.1X62.1 CM 1.93M2</t>
  </si>
  <si>
    <t>62.1x62.1</t>
  </si>
  <si>
    <t>PISO MARSALA NIEVE 62.1X62.1CM 1.93M2</t>
  </si>
  <si>
    <t>CAS768</t>
  </si>
  <si>
    <t>DOM WHITE SATINADO 60X60 5PZ 1.80M2</t>
  </si>
  <si>
    <t>Satinado</t>
  </si>
  <si>
    <t>CAS771</t>
  </si>
  <si>
    <t>DOLOMITTI 66 GRAY 60X60 5PZ 1.80M2</t>
  </si>
  <si>
    <t>CAS777</t>
  </si>
  <si>
    <t>MYST 66 GRAY 60X60 5PZ 1.80M2</t>
  </si>
  <si>
    <t>Estructurado</t>
  </si>
  <si>
    <t>GSS11224RC1P7</t>
  </si>
  <si>
    <t>GSS1 30 cm x 60 cm Rect. Sandstone Beige 1a. Cal 1.44M2</t>
  </si>
  <si>
    <t>30x60</t>
  </si>
  <si>
    <t>ZKL615151P7</t>
  </si>
  <si>
    <t>ZKL6 37 cm x 37 cm Kalei Retro Black 1a. Cal 2.11M2</t>
  </si>
  <si>
    <t>Geométrico</t>
  </si>
  <si>
    <t>ZAA715151P7</t>
  </si>
  <si>
    <t>ZAA7 37cm x 37 cm Alpha Gris 1a. Cal 2.11M2</t>
  </si>
  <si>
    <t>ZAA515151P7</t>
  </si>
  <si>
    <t>ZAA5 37 cm x 37 cm Alpha Rojo 1a. Cal 2.11M2</t>
  </si>
  <si>
    <t>Rojo</t>
  </si>
  <si>
    <t>ZCN815151P7</t>
  </si>
  <si>
    <t>ZCN8 37 cm x 37 cm Colonial Elena 1a. Cal. 2.11M2</t>
  </si>
  <si>
    <t>Multicolor</t>
  </si>
  <si>
    <t>ZCN915151P7</t>
  </si>
  <si>
    <t>ZCN9 37 cm x 37 cm Colonial Frida 1a. Cal 2.11M2</t>
  </si>
  <si>
    <t>ZLM215151P7</t>
  </si>
  <si>
    <t>ZLM2 37cm x 37 cm Lumiere Blanco 1a. Cal 2.11M2</t>
  </si>
  <si>
    <t>ZCA52424C1P7</t>
  </si>
  <si>
    <t>ZCA5 60.5 cm x 60.5 cm Cantabria Avorio 1a. Cal 1.82M2</t>
  </si>
  <si>
    <t>CAS785</t>
  </si>
  <si>
    <t>TULUM 60 SAND 60X60 5PZ 1.80M2</t>
  </si>
  <si>
    <t>PISO MALIBU-AD BLANCO 20.1X20.1 CM 1.53 M2 CAJA</t>
  </si>
  <si>
    <t>PISO SPRITZ WHITE 20.1X20.1CM 1.53 M2</t>
  </si>
  <si>
    <t>PISO SPRITZ BLACK 20.1x20.1CM 1.53 M2</t>
  </si>
  <si>
    <t>PISO ALPINO BR ORO 60.5x60.5 CM 1.83 M2/CAJA</t>
  </si>
  <si>
    <t>CAS776</t>
  </si>
  <si>
    <t>MYST 66 BLACK 60X60 5PZ 1.80M2</t>
  </si>
  <si>
    <t>CAS772</t>
  </si>
  <si>
    <t>DOM WHITE BRILLO 60X60 5PZ 1.80M2</t>
  </si>
  <si>
    <t>CAS1411</t>
  </si>
  <si>
    <t>PISO CIPRIANI GREY 30X60 11PZ 1.98 M2</t>
  </si>
  <si>
    <t>30X60</t>
  </si>
  <si>
    <t>ZA612424RC1P7</t>
  </si>
  <si>
    <t>ZA61 60x60 cm Rect. Aurora Bianco 1a. Cal 1.8M2</t>
  </si>
  <si>
    <t>60x60</t>
  </si>
  <si>
    <t>ZLC02424RC1P7</t>
  </si>
  <si>
    <t>ZLC0 60 cm x 60 cm Rect. Lucca Bianco 1a. Cal. 1.8M2</t>
  </si>
  <si>
    <t>MURO MEDITERRANEO AZUL 28X60 CM 1.68 M2/CAJA 10 PZ</t>
  </si>
  <si>
    <t>28x60</t>
  </si>
  <si>
    <t>MURO MEDITERRANEO BLANCO 28X60 CM 1.68 M2/CAJA 10 PZ</t>
  </si>
  <si>
    <t>MURO MEDITERRANEO CREMA 28X60 CM 1.68 M2/CAJA 10 PZ</t>
  </si>
  <si>
    <t>Crema</t>
  </si>
  <si>
    <t>MURO MEDITERRANEO GRIS 28X60 CM 1.68 M2/CAJA 10 PZ</t>
  </si>
  <si>
    <t>MURO MEDITERRANEO NEGRO 28X60 CM 1.68 M2/CAJA 10 PZ</t>
  </si>
  <si>
    <t>MURO MEDITERRANEO VERDE 28X60 CM 1.68 M2/CAJA 10 PZ</t>
  </si>
  <si>
    <t>PISO NAPA BR WHITE 60X60 CM 1.8 M2/CAJA RECT</t>
  </si>
  <si>
    <t>GLD4848RB1P7</t>
  </si>
  <si>
    <t>GLD4 20 cm x 120 Rect. Legend Brown 1a. Cal 1.19M2</t>
  </si>
  <si>
    <t>20x120</t>
  </si>
  <si>
    <t>CAS9407</t>
  </si>
  <si>
    <t>PISO MADEIRA 32 COFFE 30X120 1.76 M2</t>
  </si>
  <si>
    <t>30X120</t>
  </si>
  <si>
    <t>CAS9408</t>
  </si>
  <si>
    <t>PISO MADEIRA 32 SAND 30X120 1.76 M2</t>
  </si>
  <si>
    <t>CAS100147</t>
  </si>
  <si>
    <t>PISO BLUES CAFE 60X120 1.42M2</t>
  </si>
  <si>
    <t>60X120</t>
  </si>
  <si>
    <t>CAS100134</t>
  </si>
  <si>
    <t>PISO VOLCANO OXFORD 60X120 2PZ 1.42M2</t>
  </si>
  <si>
    <t>PISO BERNAL GRIS 60.5X60.5 CM 1.83 M2/CAJA</t>
  </si>
  <si>
    <t>Cantera</t>
  </si>
  <si>
    <t>PISO BERNAL GRAFITO 60.5x60.5 CM 1.83 M2/CAJA</t>
  </si>
  <si>
    <t>CAS9409</t>
  </si>
  <si>
    <t>PISO MADEIRA 32 SILVER 30X120 1.76 M2</t>
  </si>
  <si>
    <t>CAS94010</t>
  </si>
  <si>
    <t>PISO RECT NORUEGA 22 GRIS 20X120 1.83M2</t>
  </si>
  <si>
    <t>20X120</t>
  </si>
  <si>
    <t>CAS100133</t>
  </si>
  <si>
    <t>PISO VOLCANO GREY 60X120 2PZ 1.42M2</t>
  </si>
  <si>
    <t>CAS100123</t>
  </si>
  <si>
    <t>PISO MOON SILVER 60X120 2PZ 1.42M2</t>
  </si>
  <si>
    <t>PISO BERNAL GRIS 51X102 1.57 M2</t>
  </si>
  <si>
    <t>51x102</t>
  </si>
  <si>
    <t>PISO BERNAL GRAFITO 51X102 1.57 M2</t>
  </si>
  <si>
    <t>PISO EDIMBURGO NEGRO 80 CM X160 CM 2.56 M2/CAJA PUL Y RECT</t>
  </si>
  <si>
    <t>80x160</t>
  </si>
  <si>
    <t>PISO MONET CEDRO 16.5X100 CM 0.99 M2/CAJA RECTIFICADO</t>
  </si>
  <si>
    <t>16.5x100</t>
  </si>
  <si>
    <t>PISO MONET HAYA 16.5X100 1.49 M2 CTDO Y RECTIFICADO</t>
  </si>
  <si>
    <t>PISO MONET NOGAL 16.5X100 1.49 M2 RECT</t>
  </si>
  <si>
    <t>PISO MONET CENIZA 16.5X100 1.49 M2 CTDO Y RECTIFICADO</t>
  </si>
  <si>
    <t>PISO MONET CEDRO 25X100 2.25 M2 RECTIFICADO</t>
  </si>
  <si>
    <t>25x100</t>
  </si>
  <si>
    <t>PISO MONET NOGAL 25X100 2.25 M2 RECTIFICADO</t>
  </si>
  <si>
    <t>PISO MONET CENIZA 25X100 2.25 M2 RECTIFICADO</t>
  </si>
  <si>
    <t>PISO MONET HAYA 25X100 2.25 M2 RECTIFICADO</t>
  </si>
  <si>
    <t>PISO SAN GABRIEL GRAY 50X100 CM 1.5 M2/CAJA RECT</t>
  </si>
  <si>
    <t>50x100</t>
  </si>
  <si>
    <t>PISO AMBERES GRIS 50X100 CM 1.5 M2/CAJA RECT</t>
  </si>
  <si>
    <t>PISO AMBERES NATURAL 50X100 CM 1.5 M2/CAJA RECT</t>
  </si>
  <si>
    <t>PISO CHICAGO GRAY 50X100 CM 2.0 M2/CAJA RECTIFICADO</t>
  </si>
  <si>
    <t>PISO TOREO ANTRACITA 50X100 CM 2.0 M2/CAJA RECTIFICADO</t>
  </si>
  <si>
    <t>PISO SOHO ALBINO 50X100 CM 2.0 M2/CAJA RECTIFICADO</t>
  </si>
  <si>
    <t>PISO LIVING GRIS 50X100 CM 2.0 M2/CAJA RECTIFICADO</t>
  </si>
  <si>
    <t>PISO SCANNO GRAY 50X100 CM 2.0 M2/CAJA RECTIFICADO</t>
  </si>
  <si>
    <t>PISO MONARCA NIEBLA 50X100 CM 2.0 M2/CAJA RECTIFICADO</t>
  </si>
  <si>
    <t>CAS94012</t>
  </si>
  <si>
    <t>PISO RECT NORUEGA 22 ROBLE 20X120 1.83M2</t>
  </si>
  <si>
    <t>CAS94018</t>
  </si>
  <si>
    <t>PISO YUNN 32 NUEZ 30X120 1.76M2</t>
  </si>
  <si>
    <t>CAS100118</t>
  </si>
  <si>
    <t>PISO IBIZA 62 GOLD SATINADO 60X120 2PZ 1.42M2</t>
  </si>
  <si>
    <t>CAS2512</t>
  </si>
  <si>
    <t>PISO GINZA 62 PEARL 60X120 2 PZ 1.42 M2</t>
  </si>
  <si>
    <t>CAS100116</t>
  </si>
  <si>
    <t>PISO ARES SATINADO 60X120 2PZ 1.42M2</t>
  </si>
  <si>
    <t>CAS2510</t>
  </si>
  <si>
    <t>PISO GRECIA 62 BRILLO 60X120 2PZ 1.42M2</t>
  </si>
  <si>
    <t>CAS100194</t>
  </si>
  <si>
    <t>AMSTERDAM 62 GREY 60X120 2PZ 1.42M2</t>
  </si>
  <si>
    <t>CAS100195</t>
  </si>
  <si>
    <t>AMSTERDAM 62 OXFORD 60X120 2PZ 1.42M2</t>
  </si>
  <si>
    <t>CAS2513</t>
  </si>
  <si>
    <t>PISO IONIC 62 SILVER 60X120 2PZ 1.42M2</t>
  </si>
  <si>
    <t>CAS2511</t>
  </si>
  <si>
    <t>PISO MARSELLA 62 BRILLO 60X120 2 PZS 1.42 M2</t>
  </si>
  <si>
    <t>CAS100167</t>
  </si>
  <si>
    <t>EVOKE 62 BLACK 60X120 2 PZ 1.42 M2</t>
  </si>
  <si>
    <t>PISO MARMARA PL BLANCO 50X100 2 M2</t>
  </si>
  <si>
    <t>PISO RAFAELLO PL CREMA 50X100 2 M2</t>
  </si>
  <si>
    <t>PISO SOBERANO PL NERO 50X100 2 M2</t>
  </si>
  <si>
    <t>PISO ALPINO PL ORO 50X100 2 M2</t>
  </si>
  <si>
    <t>PISO RAFAELLO PL GRIS 50X100 2 M2</t>
  </si>
  <si>
    <t>PISO TUNDRA BLANCO 60 CM X 120CM 1.44 M2/CAJA PUL Y RECT</t>
  </si>
  <si>
    <t>PISO EVANDER WHITE 60x120 1.44 M2 PUL Y RECT</t>
  </si>
  <si>
    <t>CAS100120</t>
  </si>
  <si>
    <t>PISO CANTABRIA BEIGE 60X120 2PZ 1.42M2</t>
  </si>
  <si>
    <t>beige</t>
  </si>
  <si>
    <t>CAS100178</t>
  </si>
  <si>
    <t>PISO EVOKE GREY 60X120 1.42M2</t>
  </si>
  <si>
    <t>CAS100188</t>
  </si>
  <si>
    <t>PISO VOLCANO 62 MARFIL 60X120 2PZ 1.42 M2</t>
  </si>
  <si>
    <t>CAS100189</t>
  </si>
  <si>
    <t>PISO MINIMAL 62 IVORY 60X120 2PZ 1.42 M2</t>
  </si>
  <si>
    <t>CAS100115</t>
  </si>
  <si>
    <t>PISO ARES BRILLO 60X120 2PZ 1.42M2</t>
  </si>
  <si>
    <t>CAS100207</t>
  </si>
  <si>
    <t>PISO MINIMAL 62 SILVER 60X120 2PZ 1.42 M2</t>
  </si>
  <si>
    <t>CAS100121</t>
  </si>
  <si>
    <t>PISO MOON IVORY 60X120 2PZ 1.42M2</t>
  </si>
  <si>
    <t>CAS100218</t>
  </si>
  <si>
    <t>PISO PIETRA 62 GRIGIO 60X120 2PZ 1.42 M2</t>
  </si>
  <si>
    <t>PISO TARANTO WHITE 60x120 1.44 M2 PUL Y RECT</t>
  </si>
  <si>
    <t>PISO ATACAMA GRAFITO 50X100 CM 1.5 M2/CAJA RECTIFICADO 36 CAJAS</t>
  </si>
  <si>
    <t>CAS100128</t>
  </si>
  <si>
    <t>PISO 62 PIETRA NERO 60X120 2PZ 1.42M2</t>
  </si>
  <si>
    <t>negro</t>
  </si>
  <si>
    <t>Castel</t>
  </si>
  <si>
    <t>Pisos Castel</t>
  </si>
  <si>
    <t>CAS100172</t>
  </si>
  <si>
    <t>PISO PORCELANICO THASSOS 120 60X120 1.44M2</t>
  </si>
  <si>
    <t>ZMS62424RC1P7</t>
  </si>
  <si>
    <t>ZMS6 60 cm x 60 cm Rect. Magnus Black 1a. Cal 1.80M2</t>
  </si>
  <si>
    <t>CAS100273</t>
  </si>
  <si>
    <t>PISO CARRARA GOLD PL 60X120 1.44M2</t>
  </si>
  <si>
    <t>CAS10074</t>
  </si>
  <si>
    <t>KAPLAN 60X120 2PZ (1.44m2)V.P.</t>
  </si>
  <si>
    <t>CAS10088</t>
  </si>
  <si>
    <t>PISO BUSAN MATE WHITE 60X120 1.44M2</t>
  </si>
  <si>
    <t>CAS1240</t>
  </si>
  <si>
    <t>PISO VITRIFICADO PULPIS GREY 60X60 1.44 M2</t>
  </si>
  <si>
    <t>GSN11320L1P2</t>
  </si>
  <si>
    <t>GSN1 34 cm X 50 cm Stonefort Gold 1a.Cal. 1.20M2</t>
  </si>
  <si>
    <t>34x50</t>
  </si>
  <si>
    <t>CAS137</t>
  </si>
  <si>
    <t>PISO PORCELANICO VITRIFICADO DIAMOND CARRARA  60X60 1.44M2</t>
  </si>
  <si>
    <t>PISO MILANO NERO 61.2X122.6 CM 1.5 M2/CAJA RECTIFICADO 40 CAJAS</t>
  </si>
  <si>
    <t>61.2x122.6</t>
  </si>
  <si>
    <t>GA842424RC1P7</t>
  </si>
  <si>
    <t>GA84 60x60 cm Rect. Amore Carlotta 1a. Cal 1.8M2</t>
  </si>
  <si>
    <t>GA852424RC1P7</t>
  </si>
  <si>
    <t>GA85 60x60 cm Rect. Amore Julieta 1a. Cal 1.8M2</t>
  </si>
  <si>
    <t>CAS2113</t>
  </si>
  <si>
    <t>PISO AMANI PL WHITHE 60X120CM 1.44M2/CAJA</t>
  </si>
  <si>
    <t>CAS2213</t>
  </si>
  <si>
    <t>PISO STATUARIO GOLDEN BLANCO 60X120 CAJA 1.44M2</t>
  </si>
  <si>
    <t>CAS2220</t>
  </si>
  <si>
    <t>PISO PORC.TORONTO WHITE 60X120 CAJA 1.44M2</t>
  </si>
  <si>
    <t>CAS2228</t>
  </si>
  <si>
    <t>PISO TORONTO GRAY 60X120 CAJA 1.44M2</t>
  </si>
  <si>
    <t>CAS254794</t>
  </si>
  <si>
    <t>EVEREST 62 PULIDO  59.5X119.5 3PZ 2.13M2</t>
  </si>
  <si>
    <t>59.5x119.5</t>
  </si>
  <si>
    <t>CAS254795</t>
  </si>
  <si>
    <t>CARRARA 62 POLARIS PULIDO  59.5X119.5 3PZ 2.13M2</t>
  </si>
  <si>
    <t>CAS254796</t>
  </si>
  <si>
    <t>THASSOS 62 WHITE PULIDO 59.5X119.5 3PZ 2.13 M2</t>
  </si>
  <si>
    <t>CAS254797</t>
  </si>
  <si>
    <t>AMANI GREY 59.5X119.5 3PZ 2.13M2</t>
  </si>
  <si>
    <t xml:space="preserve">Gris </t>
  </si>
  <si>
    <t>CAS3040</t>
  </si>
  <si>
    <t>PISO SAINT LAURENT NEGRO 60X120 1.44M2</t>
  </si>
  <si>
    <t>CAS4040</t>
  </si>
  <si>
    <t>PISO CARRARA POLARIS PL 60X120CM 1.44M2/CAJA</t>
  </si>
  <si>
    <t>CAS734</t>
  </si>
  <si>
    <t>PISO WACOM 60X120 1.44 M2</t>
  </si>
  <si>
    <t>CAS739</t>
  </si>
  <si>
    <t>ORCHESTRA GOLD 60X120 1.44 M2</t>
  </si>
  <si>
    <t>CAS757</t>
  </si>
  <si>
    <t>AMANI WHITE 60X60 1.44 M2</t>
  </si>
  <si>
    <t>CAS758</t>
  </si>
  <si>
    <t>AMANI OXFORD 60X60 1.44 M2</t>
  </si>
  <si>
    <t>CAS8794</t>
  </si>
  <si>
    <t>PISO CASTEL NAPOLES  BEIGE 60X60 1.44M2 4PZAS</t>
  </si>
  <si>
    <t>CAS886</t>
  </si>
  <si>
    <t>PISO PORCELANICO REC VITRIFICADO THASSOS 60X60 1.44 M2 CAJA</t>
  </si>
  <si>
    <t>ZAS81060R1P7</t>
  </si>
  <si>
    <t>ZAS8 25 cm x 153 cm Rect. Aspen Castaño 1a. Cal. 1.16 M2</t>
  </si>
  <si>
    <t>25x153</t>
  </si>
  <si>
    <t>GPR11836FRC1P7</t>
  </si>
  <si>
    <t>GPR1 45 cm x 90 cm Rect Pure Fiore White 1a Cal 1.6M2</t>
  </si>
  <si>
    <t>45x90</t>
  </si>
  <si>
    <t>CAS900</t>
  </si>
  <si>
    <t>PISO PORC REC STATUARIO MATE 60X60</t>
  </si>
  <si>
    <t>CAS94016</t>
  </si>
  <si>
    <t>PISO VENETIAN BLANCO 60X60 1.44M2</t>
  </si>
  <si>
    <t>GGS12448PR1SL</t>
  </si>
  <si>
    <t>GGS1 59.6 x 119.4 Rect. Galastone Turquoise 1a Cal 1.42m2</t>
  </si>
  <si>
    <t>59.6x119.4</t>
  </si>
  <si>
    <t>ZAS61060R1P7</t>
  </si>
  <si>
    <t>ZAS6 25 cm x 153 cm Rect. Aspen Gris 1a. Cal 1.16 M2</t>
  </si>
  <si>
    <t>ZAS51060R1P7</t>
  </si>
  <si>
    <t>ZAS5 25 cm x 153 cm Rect. Aspen Natural 1a. Cal 1.16 M2</t>
  </si>
  <si>
    <t>GMK13264PR1</t>
  </si>
  <si>
    <t>GMK1 80 CM X 160 CM RECT. MAKIA BLANCO PULIDO 1a. CAL.</t>
  </si>
  <si>
    <t>ZAD83264PR1SL</t>
  </si>
  <si>
    <t>ZAD8 80 cm x 160 cm Rect. Andara Marfil 1a. Cal. 2.56 M2</t>
  </si>
  <si>
    <t>ZBS432641PD</t>
  </si>
  <si>
    <t>ZBS4 80 cm X 160 cm Rect.Botanic Sens Green 1a. Cal 2.56M2</t>
  </si>
  <si>
    <t>ZCG63264PR1SL</t>
  </si>
  <si>
    <t>ZCG6 80 CM X 160 CM RECT. CARRARA GOLD BLANCO PUL. 1a.</t>
  </si>
  <si>
    <t>ZCT63264PR1SL</t>
  </si>
  <si>
    <t>ZCT6 80 CM X 160 CM RECT. CATALIA IVORY 1a. CAL. 2.56 M2</t>
  </si>
  <si>
    <t>ZCT73264PR1SL</t>
  </si>
  <si>
    <t>ZCT7 80 CM X 160 CM RECT. CATALIA LIGHT GRAY 1a. CAL. 2.56 M2</t>
  </si>
  <si>
    <t>ZCT83264PR1SL</t>
  </si>
  <si>
    <t>ZCT8 80 CM X 160 CM RECT CATALIA DARK GRAY 1a. CAL. 2.56 M2</t>
  </si>
  <si>
    <t>ZKT23264PR1SL</t>
  </si>
  <si>
    <t>ZKT2 80 CM X 160 CM RECT. KATALONIA BEIGE 1a. CAL. 2.52 M2</t>
  </si>
  <si>
    <t>ZMQ132641PD</t>
  </si>
  <si>
    <t>ZMQ1 80x160 Marquina Negro Rect. 1a. Cal 2.56M2</t>
  </si>
  <si>
    <t>ZN0924481PD</t>
  </si>
  <si>
    <t>ZN09 60x120 Rect. Black Marble Black 1a. Cal 1.44M2</t>
  </si>
  <si>
    <t>ZS0932641PD</t>
  </si>
  <si>
    <t>ZS09 80x160 cm. Rect. Silver River Gray 1a. Cal. 2.56M2</t>
  </si>
  <si>
    <t>ZSS532641PD</t>
  </si>
  <si>
    <t>ZSS5 80 cm X 160 cm Rect.Sky Sens Blue 1a. Cal. 2.56M2</t>
  </si>
  <si>
    <t>Malla ceramica</t>
  </si>
  <si>
    <t>ZA0515HEXMS1P2</t>
  </si>
  <si>
    <t>ZA05 3.8 Alida1a.Cal. 0.9M2 (12 piezas por caja)</t>
  </si>
  <si>
    <t>29x26</t>
  </si>
  <si>
    <t>PT2415HEXMS1P2</t>
  </si>
  <si>
    <t>PT24 3.8 HEX NEGRO MT INFINITO 0.90M2 (12 piezas por caja)</t>
  </si>
  <si>
    <t>ZDL224481PA</t>
  </si>
  <si>
    <t>ZDL2 60 CM X 120 CM CLAUDEL WHITE PL 1a. CAL. 1.44 M2</t>
  </si>
  <si>
    <t>Beie</t>
  </si>
  <si>
    <t>ZVN224481PA</t>
  </si>
  <si>
    <t>ZVN2 60 CM X 120 CM NUVEM WHITE PULIDO 1a. CAL. 1.44 M2</t>
  </si>
  <si>
    <t>Pisos</t>
  </si>
  <si>
    <t>Pisos Renujal</t>
  </si>
  <si>
    <t>CAS251078</t>
  </si>
  <si>
    <t>CARRARA POLARIS SATIN 59.5X119.5 3PZ 2.13M2 C.C</t>
  </si>
  <si>
    <t>CAS756</t>
  </si>
  <si>
    <t>SYMPHONY PL 60X120 1.44 M2</t>
  </si>
  <si>
    <t>CAS1001216</t>
  </si>
  <si>
    <t>PISO MOON IVORY 60X120 3PZ 2.13M2</t>
  </si>
  <si>
    <t>CAS1001212</t>
  </si>
  <si>
    <t>PISO IONIC 62 SILVER 60X120 3PZ 2.13M2</t>
  </si>
  <si>
    <t>CAS1001348</t>
  </si>
  <si>
    <t>PISO GRECIA 62 BRILLO 60X120 3PZ 2.13M2</t>
  </si>
  <si>
    <t>CAS1001213</t>
  </si>
  <si>
    <t>PISO CANTABRIA BEIGE 60X120 3PZ 2.13M2</t>
  </si>
  <si>
    <t>CAS1001211</t>
  </si>
  <si>
    <t>PISO MINIMAL 62 IVORY 60X120 3PZ 2.13M2</t>
  </si>
  <si>
    <t>CAS1001210</t>
  </si>
  <si>
    <t>PISO MOON SILVER 60X120 3PZ 2.13M2</t>
  </si>
  <si>
    <t>CAS1001349</t>
  </si>
  <si>
    <t>PISO VOLCANO OXFORD 60X120 3PZ 2.13M2</t>
  </si>
  <si>
    <t>Oportunidad</t>
  </si>
  <si>
    <t>PISO ALBA BIANCO 35.7X35.7 1.78 M2</t>
  </si>
  <si>
    <t>Semibrillante</t>
  </si>
  <si>
    <t>Comentarios</t>
  </si>
  <si>
    <t>Neostone</t>
  </si>
  <si>
    <t>NEOS322</t>
  </si>
  <si>
    <t>DIAMOND BLACK GLOSSY 10X20 1M2 (50 PZ)</t>
  </si>
  <si>
    <t>10X20</t>
  </si>
  <si>
    <t>NEOS452</t>
  </si>
  <si>
    <t>DIAMOND BLACK MATT10X20 1M2 (50 PZ)</t>
  </si>
  <si>
    <t>NEOS323</t>
  </si>
  <si>
    <t>DIAMOND WHITE GLOSSY 10X20 1M2 (50 PZ)</t>
  </si>
  <si>
    <t>NEOS451</t>
  </si>
  <si>
    <t>DIAMOND WHITE MATT 10X20 1M2 (50 PZ)</t>
  </si>
  <si>
    <t>NEOS361</t>
  </si>
  <si>
    <t>SAN MARINO PL 120X120 2.88 M2</t>
  </si>
  <si>
    <t>120X120</t>
  </si>
  <si>
    <t>NEOS109</t>
  </si>
  <si>
    <t>ARABELL ELITE 120X240 2.88 M2</t>
  </si>
  <si>
    <t>120X240</t>
  </si>
  <si>
    <t>NEOS519</t>
  </si>
  <si>
    <t>CARACARA WHITE 120X240 2.88M2</t>
  </si>
  <si>
    <t>NEOS518</t>
  </si>
  <si>
    <t>CARRARA WHITE 120x240 2.88M2</t>
  </si>
  <si>
    <t>Hasta agotar existencias</t>
  </si>
  <si>
    <t>NEOS111</t>
  </si>
  <si>
    <t>BLACK SYMPHONY 120X240 2.88 M2</t>
  </si>
  <si>
    <t>CALACATTA 120X240</t>
  </si>
  <si>
    <t>CALACATTA ELITE 120X240 PUL. 2.88 MTS</t>
  </si>
  <si>
    <t>NEOS314</t>
  </si>
  <si>
    <t>MONET WHITE 120X240 2.88M2</t>
  </si>
  <si>
    <t>NEOS099</t>
  </si>
  <si>
    <t>SAINT LAURENT ELITE 120X240 2.88 M2</t>
  </si>
  <si>
    <t>NEOS493</t>
  </si>
  <si>
    <t>KENAI GREY (TORO GREY) 20X120 1.20m2</t>
  </si>
  <si>
    <t>NEOS359</t>
  </si>
  <si>
    <t>GREY BRICH WOOD 20x120</t>
  </si>
  <si>
    <t>NEOS492</t>
  </si>
  <si>
    <t>KENAI BROWN (TORO BROWN) 20X120 1.20m2</t>
  </si>
  <si>
    <t>NEOS491</t>
  </si>
  <si>
    <t>KENAI NATURAL (CASTELO MONEY) 20X120 1.20m2</t>
  </si>
  <si>
    <t>NEOS465</t>
  </si>
  <si>
    <t>MOUNTAIN BROWN 20X120 1.20M2</t>
  </si>
  <si>
    <t>ROYALWOODB20X120</t>
  </si>
  <si>
    <t>ROYAL WOOD BROWN 20X120CM 1.20M2/CJ</t>
  </si>
  <si>
    <t>NEOS377</t>
  </si>
  <si>
    <t>MALLA SINTRA 30X30</t>
  </si>
  <si>
    <t>30X30</t>
  </si>
  <si>
    <t>NEOS382</t>
  </si>
  <si>
    <t>MALLA NAZARÉ 30X30</t>
  </si>
  <si>
    <t>NEOS224</t>
  </si>
  <si>
    <t>MOSAICO ARMAN BLUE 30X30 0.74 M2</t>
  </si>
  <si>
    <t>NEOS441</t>
  </si>
  <si>
    <t>MOSAICO BLACK STORM MATT 30X30 0.74M2</t>
  </si>
  <si>
    <t>NEOS226</t>
  </si>
  <si>
    <t>MOSAICO CARAMEL WHITE 30X30 0.74 M2</t>
  </si>
  <si>
    <t>NEOS440</t>
  </si>
  <si>
    <t>MOSAICO LENART BLACK MATT 30X30 0.74 M2</t>
  </si>
  <si>
    <t>NEOS227</t>
  </si>
  <si>
    <t>MOSAICO STATUARIO EVA 30X30 0.74 M2</t>
  </si>
  <si>
    <t>NEOS422</t>
  </si>
  <si>
    <t>MOSAICO STATUARIO EVA MATT 30X30 0.74 M2</t>
  </si>
  <si>
    <t>NEOS369</t>
  </si>
  <si>
    <t>LUGO BIANCO GL 30X60 0.9M2</t>
  </si>
  <si>
    <t>NEOS368</t>
  </si>
  <si>
    <t>MERIDA BLACK GL 30X60 0.9M2</t>
  </si>
  <si>
    <t>NEOS367</t>
  </si>
  <si>
    <t>MERIDA STATUARIO GL 30X60 0.9M2</t>
  </si>
  <si>
    <t>NEOS366</t>
  </si>
  <si>
    <t>MERIDA WHITE GL 30X60 0.9M2</t>
  </si>
  <si>
    <t>NEOS370</t>
  </si>
  <si>
    <t>MURCIA STATUARIO GL 30X60 0.9M2</t>
  </si>
  <si>
    <t>NEOS030</t>
  </si>
  <si>
    <t>ANTIQUE BLACK 33 33X33 1M2</t>
  </si>
  <si>
    <t>33X33</t>
  </si>
  <si>
    <t>NEOS189</t>
  </si>
  <si>
    <t>ANTIQUE WHITE 33 33X33 1M2</t>
  </si>
  <si>
    <t>NEOS249</t>
  </si>
  <si>
    <t>EVEREST 60X120 1.44 M2 2DA CALIDAD</t>
  </si>
  <si>
    <t>NEOS302</t>
  </si>
  <si>
    <t>SANDSTONE GREY MT 7MM 60X120 2.16 M2</t>
  </si>
  <si>
    <t>NEOS301</t>
  </si>
  <si>
    <t>SANDSTONE BLACK MT 7MM 60X120 2.16 M2</t>
  </si>
  <si>
    <t>NEOS248</t>
  </si>
  <si>
    <t>STATUARIO EVA 60X120 1.44M2 2DA CALIDAD</t>
  </si>
  <si>
    <t>NEOS437</t>
  </si>
  <si>
    <t>SIG STATUARIO MT 7MM 60X120 2.16 M2</t>
  </si>
  <si>
    <t>NEOS220</t>
  </si>
  <si>
    <t>ATENAS BIANCO MATTE 60X120CM 5MM 2.88 M2</t>
  </si>
  <si>
    <t>NEOS216</t>
  </si>
  <si>
    <t>MONT BIANCO MATTE 60X120 CM 5MM 2.88 M2</t>
  </si>
  <si>
    <t>NEOS213</t>
  </si>
  <si>
    <t>ATENAS BIANCO GLOSSY 60 X 120 CM 5MM 2.88M2</t>
  </si>
  <si>
    <t>NEOS201</t>
  </si>
  <si>
    <t>ARMANI CASTAL 5MM 60X120 2.88 M2</t>
  </si>
  <si>
    <t>NEOS200</t>
  </si>
  <si>
    <t>CASTANO WOOD 5 MM 60X120 2.88 M2</t>
  </si>
  <si>
    <t>NEOS202</t>
  </si>
  <si>
    <t>SIG STATUARIO PL 5MM 60X120 2.88M2</t>
  </si>
  <si>
    <t>NEOS221</t>
  </si>
  <si>
    <t>SIG STATUARIO MT 5MM 60X120 2.88M3</t>
  </si>
  <si>
    <t>NEOS305</t>
  </si>
  <si>
    <t>MORDAN SILVER GL 7MM 60X120 2.16 M2</t>
  </si>
  <si>
    <t>NEOS303</t>
  </si>
  <si>
    <t>INDEX GREY MT 7MM 60X120 2.16 M2</t>
  </si>
  <si>
    <t>NEOS304</t>
  </si>
  <si>
    <t>CLASSIC STATUARIO MT 7MM 60X120 2.16 M2</t>
  </si>
  <si>
    <t>NEOS215</t>
  </si>
  <si>
    <t>SIDNEY GREY GLOSSY 60 X 120 5MM 2.88M2</t>
  </si>
  <si>
    <t>NEOS203</t>
  </si>
  <si>
    <t>MARMOL CARRARA 5MM 60X120 2.88 M2</t>
  </si>
  <si>
    <t>NEOS306</t>
  </si>
  <si>
    <t>PARIS WHITE GL 7MM 60X120 2.16 M2</t>
  </si>
  <si>
    <t>NEOS300</t>
  </si>
  <si>
    <t>NOIR STATUARIO GL 7MM 60X120 2.16M2</t>
  </si>
  <si>
    <t>NEOS315</t>
  </si>
  <si>
    <t>CALACATTA CLASSIC (PY126929) 60X120 2.16 M2</t>
  </si>
  <si>
    <t>NEOS209</t>
  </si>
  <si>
    <t>CARAMEL WHITE 60X120 1.44 M2</t>
  </si>
  <si>
    <t>NEOS418</t>
  </si>
  <si>
    <t>BUCAREST SILVER MATT 60X120 1.44 m2</t>
  </si>
  <si>
    <t>NEOS160</t>
  </si>
  <si>
    <t>NEO CARRARA PL 60X120 1.44 M2</t>
  </si>
  <si>
    <t>NEOS223</t>
  </si>
  <si>
    <t>COILCHIPS GREY 9MM 60X120 1.44 M2</t>
  </si>
  <si>
    <t>NEOS383</t>
  </si>
  <si>
    <t>SIG STATUARIO PL 9MM 60X120 1.44 M2</t>
  </si>
  <si>
    <t>NEOS436</t>
  </si>
  <si>
    <t>SIG STATUARIO MT 9MM 60X120 1.44 M2</t>
  </si>
  <si>
    <t>NEOS373</t>
  </si>
  <si>
    <t>ARABELL SATIN MATT 60X120 1.44 M2</t>
  </si>
  <si>
    <t>NEOS142</t>
  </si>
  <si>
    <t>ALDEN BIANCO 60X120 1.44 M2</t>
  </si>
  <si>
    <t>NEOS374</t>
  </si>
  <si>
    <t>MONTCALM SATIN MATT 60X120 1.44M2</t>
  </si>
  <si>
    <t>NEOS059</t>
  </si>
  <si>
    <t>STENCIL LT 60X120 1.44 M2</t>
  </si>
  <si>
    <t>NEOS376</t>
  </si>
  <si>
    <t>SIG STATUARIO PL 7MM 60X120 2.16 M2</t>
  </si>
  <si>
    <t>NEOS178</t>
  </si>
  <si>
    <t>EVEREST RUSTIC 60X120 1.44 M2</t>
  </si>
  <si>
    <t>NEOS413</t>
  </si>
  <si>
    <t>FERRARA BIANCO MATT 60X120 1.44 m2</t>
  </si>
  <si>
    <t>NEOS414</t>
  </si>
  <si>
    <t>FERRARA IVORY MATT 60X120 1.44 M2</t>
  </si>
  <si>
    <t>NEOS415</t>
  </si>
  <si>
    <t>FERARRA NERO MATT 60X120 1.44 m2</t>
  </si>
  <si>
    <t>NEOS416</t>
  </si>
  <si>
    <t>BUCAREST CREMA MATT 60X120 1.44 m2</t>
  </si>
  <si>
    <t>NEOS419</t>
  </si>
  <si>
    <t>SAN REMO GREY MATT 60X120 1.44 m2</t>
  </si>
  <si>
    <t>NEOS420</t>
  </si>
  <si>
    <t>SAN GALO BIANCO MATT 60X120 1.44 m2</t>
  </si>
  <si>
    <t>NEOS421</t>
  </si>
  <si>
    <t>SAN GALO GREY MATT 60X120 1.44 m2</t>
  </si>
  <si>
    <t>NEOS143</t>
  </si>
  <si>
    <t>MURANO GREY 60X120 1.44M2</t>
  </si>
  <si>
    <t>NEOS192</t>
  </si>
  <si>
    <t>MARQUINA BLACK 60x120 1.44 M2</t>
  </si>
  <si>
    <t>NEOS193</t>
  </si>
  <si>
    <t>MARQUINA GOLD 60x120 1.44 M2</t>
  </si>
  <si>
    <t>ARA60X120</t>
  </si>
  <si>
    <t>PISO ARABELL 60X120 1.44M2</t>
  </si>
  <si>
    <t>EVEREST60X120</t>
  </si>
  <si>
    <t>EVEREST 60x120 1.44 M2</t>
  </si>
  <si>
    <t>NEOS146</t>
  </si>
  <si>
    <t>STATUARIO EVA 60X120 1.44 M2</t>
  </si>
  <si>
    <t>NEOS155</t>
  </si>
  <si>
    <t>PETRA NOVA GREY PL 60X120 1.44 M2</t>
  </si>
  <si>
    <t>NEOS137</t>
  </si>
  <si>
    <t>PETRA NOVA GREY SATIN 60x120 1.44 M2</t>
  </si>
  <si>
    <t>NEOS371</t>
  </si>
  <si>
    <t>MESINA GREY MATT 60X120 1.44M2</t>
  </si>
  <si>
    <t>NEOS372</t>
  </si>
  <si>
    <t>MESINA NATURAL MATT 60X120 1.44M2</t>
  </si>
  <si>
    <t>NEOS210</t>
  </si>
  <si>
    <t>ARMAN BLUE 60X120 1.44 M2</t>
  </si>
  <si>
    <t>MONT60X120</t>
  </si>
  <si>
    <t>PISO MONTCALM 60X120 1.44M</t>
  </si>
  <si>
    <t>NEOS081</t>
  </si>
  <si>
    <t>OSIRIS BIANCO 60X120 1.44 M2</t>
  </si>
  <si>
    <t>NEOS082</t>
  </si>
  <si>
    <t>OSIRIS GREY 60X120 1.44 M2</t>
  </si>
  <si>
    <t>NEOS162</t>
  </si>
  <si>
    <t>NEPTUNE STATUARIO POLISH 60X120 1.44 M2</t>
  </si>
  <si>
    <t>NEOS417</t>
  </si>
  <si>
    <t>BUCAREST GREY MATT 60X120 1.44 m2</t>
  </si>
  <si>
    <t>NEOS438</t>
  </si>
  <si>
    <t>SAN REMO GREY PL 60X120 1.44 M2</t>
  </si>
  <si>
    <t>NEOS450</t>
  </si>
  <si>
    <t>EVEREST MATT 60x120 1.44 M2</t>
  </si>
  <si>
    <t>NEOS501</t>
  </si>
  <si>
    <t>DEVICI BIANCO 60X120 1.44M2</t>
  </si>
  <si>
    <t>NEOS502</t>
  </si>
  <si>
    <t>FLAVIA GREY 60X120 1.44M2</t>
  </si>
  <si>
    <t>NEOS503</t>
  </si>
  <si>
    <t>FLAVIA BEIGE 60X120 1.44M2</t>
  </si>
  <si>
    <t>NEOS504</t>
  </si>
  <si>
    <t>GYPSUM SILVER 60X120 1.44 M2</t>
  </si>
  <si>
    <t>NEOS505</t>
  </si>
  <si>
    <t>GYPSUM MULTY 60X120 1.44M2</t>
  </si>
  <si>
    <t>NEOS506</t>
  </si>
  <si>
    <t>FARO PISTA 60X120 1.44M2</t>
  </si>
  <si>
    <t>NEOS507</t>
  </si>
  <si>
    <t>DEVICI SEPIA 60X120 1.44M2</t>
  </si>
  <si>
    <t>NEOS508</t>
  </si>
  <si>
    <t>FLOW GREY 60X120 1.44M2</t>
  </si>
  <si>
    <t>NEOS509</t>
  </si>
  <si>
    <t>FLOW WHITE 60X120 1.44M2</t>
  </si>
  <si>
    <t>NEOS510</t>
  </si>
  <si>
    <t>FARO GREY 60X120 1.44M2</t>
  </si>
  <si>
    <t>NEOS511</t>
  </si>
  <si>
    <t>DEVICI GREY 60X120 1.44M2</t>
  </si>
  <si>
    <t>NEOS512</t>
  </si>
  <si>
    <t>DEVICI CREMA 60X120 1.44M2</t>
  </si>
  <si>
    <t>NEOS513</t>
  </si>
  <si>
    <t>DEVICI DESERT 60X120 1.44M2</t>
  </si>
  <si>
    <t>NEOS514</t>
  </si>
  <si>
    <t>FLAVIA 60X120 1.44M2</t>
  </si>
  <si>
    <t>NEOS515</t>
  </si>
  <si>
    <t>FLAVIA ROSE 60X120 1.44M2</t>
  </si>
  <si>
    <t>NEOS516</t>
  </si>
  <si>
    <t>GLACIER ONYX 60X120 1.44M2</t>
  </si>
  <si>
    <t>NEOS517</t>
  </si>
  <si>
    <t>GLACIER ONYX GREY 60X120 1.44M2</t>
  </si>
  <si>
    <t>NEOS520</t>
  </si>
  <si>
    <t>DEVICI GRIS 60X120 1.44M2</t>
  </si>
  <si>
    <t>NEOS521</t>
  </si>
  <si>
    <t>SIERRA NEVADA (C126G0000QB) 60X120 2.16M2</t>
  </si>
  <si>
    <t>NEOS522</t>
  </si>
  <si>
    <t>GOBLIN GREY (SH6121401Q) 60X120 2.16M2</t>
  </si>
  <si>
    <t>NEOS523</t>
  </si>
  <si>
    <t>CLOUD SILVER (JA612010Q) 60X120 2.16M2</t>
  </si>
  <si>
    <t>NEOS524</t>
  </si>
  <si>
    <t>ORLOK BIANCO (SH6126101Q) 60X120 2.16 M2</t>
  </si>
  <si>
    <t>NEOS148</t>
  </si>
  <si>
    <t>ZET CORAL 60X120 1.44 M2</t>
  </si>
  <si>
    <t>NEOS247</t>
  </si>
  <si>
    <t>COAL MATT 60X120 1.44M2</t>
  </si>
  <si>
    <t>NEOS424</t>
  </si>
  <si>
    <t>BLACK STORM DARK MATT 60X120 1.44 M2</t>
  </si>
  <si>
    <t>NEOS423</t>
  </si>
  <si>
    <t>LENART BLACK DARK MATT 60X120 1.44 M2</t>
  </si>
  <si>
    <t>NEOS060</t>
  </si>
  <si>
    <t>STENCIL DECOR 60X120 1.44 M2</t>
  </si>
  <si>
    <t>NEOS360</t>
  </si>
  <si>
    <t>ELITE STATUARIO PL 60X120 1.44 M2</t>
  </si>
  <si>
    <t>NEOS208</t>
  </si>
  <si>
    <t>IMPERIAL PEARL 60X120 1.44M2</t>
  </si>
  <si>
    <t>NEOS395</t>
  </si>
  <si>
    <t>ARMANI CASTAL 9MM 60X120 1.44M2</t>
  </si>
  <si>
    <t>NEOS442</t>
  </si>
  <si>
    <t>RICHEN BLUE HG 60X120 1.44 M2</t>
  </si>
  <si>
    <t>MALAGA60X120</t>
  </si>
  <si>
    <t>MALAGA MATT 60X120 1.44M2</t>
  </si>
  <si>
    <t>NEOS163</t>
  </si>
  <si>
    <t>PANDORA LIGHT 60X120 1.44 M2</t>
  </si>
  <si>
    <t>NEOS164</t>
  </si>
  <si>
    <t>PANDORA DARK 60X120 1.44 M2</t>
  </si>
  <si>
    <t>NEOS144</t>
  </si>
  <si>
    <t>IMPERIAL SMOKY 60X120 1.44M2</t>
  </si>
  <si>
    <t>NEOS141</t>
  </si>
  <si>
    <t>HK099 BLACK ANTHRACITE 60X120 1.44 M2 CLN LMOCHIS</t>
  </si>
  <si>
    <t>NEOS118</t>
  </si>
  <si>
    <t>BLACK ANTHRACITE 60X120 1.44 M2 SOLO MAZATLAN</t>
  </si>
  <si>
    <t>CORDO60X120</t>
  </si>
  <si>
    <t xml:space="preserve">CORDOBA 60X120 1.44M2 </t>
  </si>
  <si>
    <t>NEOS444</t>
  </si>
  <si>
    <t>STATUARIO ENFOLD GL 60X120 1.44 M2</t>
  </si>
  <si>
    <t>NEOS445</t>
  </si>
  <si>
    <t>BRANCO WHITE GL 60X120 1.44 M2</t>
  </si>
  <si>
    <t>NEOS446</t>
  </si>
  <si>
    <t>STARRY SILVER GL 60X120 1.44 M2</t>
  </si>
  <si>
    <t>NEOS447</t>
  </si>
  <si>
    <t>STARRY GREY GL 60X120 1.44 M2</t>
  </si>
  <si>
    <t>NEOS448</t>
  </si>
  <si>
    <t>ESMERALD STONE BL 60X120 1.44 M2</t>
  </si>
  <si>
    <t>NEOS449</t>
  </si>
  <si>
    <t>GUANXI WHITE HG 60X120 1.44 M2</t>
  </si>
  <si>
    <t>NEOS439</t>
  </si>
  <si>
    <t>PLAIN BLACK 60X120 1.44M2</t>
  </si>
  <si>
    <t>RODE60X120</t>
  </si>
  <si>
    <t>RODEIRO 60X120 1.44 M2</t>
  </si>
  <si>
    <t>NEOS499</t>
  </si>
  <si>
    <t>ABSOLUTE BLACK 60X120 CM 1.44 M2</t>
  </si>
  <si>
    <t>NEOS500</t>
  </si>
  <si>
    <t>MISTICEO BLACK 60X120 CM 1.44 M2</t>
  </si>
  <si>
    <t>NEOS097</t>
  </si>
  <si>
    <t>BLACK MARQUINA 60X120 1.44 M2</t>
  </si>
  <si>
    <t>NEOS125</t>
  </si>
  <si>
    <t>LENART BLACK 60X120 1.44 M2</t>
  </si>
  <si>
    <t>NEOS212</t>
  </si>
  <si>
    <t>BLACK STORM 60X120 1.44 M2</t>
  </si>
  <si>
    <t>NEOS443</t>
  </si>
  <si>
    <t>GOLDEN STORM 60X120 1.44M2</t>
  </si>
  <si>
    <t>NEOS211</t>
  </si>
  <si>
    <t>DARK PHOENIX 60X120 1.44 M2</t>
  </si>
  <si>
    <t>NEOS454</t>
  </si>
  <si>
    <t>DALLAS GREY MATT 60X60 1.44 M2</t>
  </si>
  <si>
    <t>NEOS455</t>
  </si>
  <si>
    <t>MARMOL ITALIA MATT 60X60 1.44 M2</t>
  </si>
  <si>
    <t>NEOS456</t>
  </si>
  <si>
    <t>AUSTIN DARK GREY MATT 60X60 1.44 M2</t>
  </si>
  <si>
    <t>NEOS457</t>
  </si>
  <si>
    <t>AUSTIN LIGHT GREY MATT 60X60 1.44 M2</t>
  </si>
  <si>
    <t>NEOS458</t>
  </si>
  <si>
    <t>ONYX MATT 60X60 1.44 M2</t>
  </si>
  <si>
    <t>NEOS495</t>
  </si>
  <si>
    <t>SAN  ANTONIO MATT 60X60 1.44 M2</t>
  </si>
  <si>
    <t>NEOS460</t>
  </si>
  <si>
    <t>PARADISO BIANCO MATT 60X60 1.44 M2</t>
  </si>
  <si>
    <t>NEOS461</t>
  </si>
  <si>
    <t>SAN ANGELO MATT 60X60 1.44 M2</t>
  </si>
  <si>
    <t>CPM001</t>
  </si>
  <si>
    <t>PISO PORCELANICO RECT Mieres 60X60 CAJA 1.44</t>
  </si>
  <si>
    <t>NEOS018</t>
  </si>
  <si>
    <t>OCEAN 60X60 1.44 M2</t>
  </si>
  <si>
    <t>NEOS338</t>
  </si>
  <si>
    <t>TERUEL 60X60 1.44 M2</t>
  </si>
  <si>
    <t>NEOS140</t>
  </si>
  <si>
    <t>PETRA NOVA GREY SATIN 60X60 1.44 M2</t>
  </si>
  <si>
    <t>NEOS058</t>
  </si>
  <si>
    <t>NEPTUNE STATUARIO MATT 60X60 1.44 M2</t>
  </si>
  <si>
    <t>MALAGA60X60</t>
  </si>
  <si>
    <t>MALAGA 60X60 1.44 M2</t>
  </si>
  <si>
    <t>NEOS019</t>
  </si>
  <si>
    <t>STENCIL LT 60X60 1.44 M2</t>
  </si>
  <si>
    <t>NEOS057</t>
  </si>
  <si>
    <t>NEPTUNE STATUARIO POLISH 60X60 1.44 M2</t>
  </si>
  <si>
    <t>CGP027</t>
  </si>
  <si>
    <t>SIERRA NEVADA 60X60 1.44 M2</t>
  </si>
  <si>
    <t>EVEREST60X60</t>
  </si>
  <si>
    <t>EVEREST 60X60 1.44 M2</t>
  </si>
  <si>
    <t>CORDO60X60</t>
  </si>
  <si>
    <t>CORDOBA 60x60 1.44 M2</t>
  </si>
  <si>
    <t>NEOS154</t>
  </si>
  <si>
    <t>PETRA NOVA GREY PL 60X60 1.44 M2</t>
  </si>
  <si>
    <t>CGP002</t>
  </si>
  <si>
    <t>BILBAO 60x60 1.44 M2</t>
  </si>
  <si>
    <t>CPL0060</t>
  </si>
  <si>
    <t>LANJARON 60X60 CAJA 1.44 M2</t>
  </si>
  <si>
    <t>NEOS333</t>
  </si>
  <si>
    <t>CREMA VALENCIA 60X60 1.44 M2</t>
  </si>
  <si>
    <t>NEOS362</t>
  </si>
  <si>
    <t>CALABRIA BEIGE MATT 60X60 1.44 M2</t>
  </si>
  <si>
    <t>NEOS363</t>
  </si>
  <si>
    <t>CALABRIA GREY MATT 60x60 1.44M2</t>
  </si>
  <si>
    <t>NEOS364</t>
  </si>
  <si>
    <t>CALABRIA WHITE MATT 60X60 1.44M2</t>
  </si>
  <si>
    <t>NEOS207</t>
  </si>
  <si>
    <t>MIDNIGHT 60X60 1.44 M2</t>
  </si>
  <si>
    <t>NEOS365</t>
  </si>
  <si>
    <t>CALABRIA BLACK MATT 60X60 1.44M2</t>
  </si>
  <si>
    <t>NEOS225</t>
  </si>
  <si>
    <t>BLACK STORM 60X60 1.44 M2</t>
  </si>
  <si>
    <t>NEOS321</t>
  </si>
  <si>
    <t>IMPERIAL (NERO ABSOLUTE) 60X60 1.44M2</t>
  </si>
  <si>
    <t>INCN417</t>
  </si>
  <si>
    <t>PONTA DO MEL 63X63 2.79m2 (PSI-63290R)</t>
  </si>
  <si>
    <t>63X63</t>
  </si>
  <si>
    <t>INCF415</t>
  </si>
  <si>
    <t>HERMÉS 74X74 2.19m2 (PHD70510R)</t>
  </si>
  <si>
    <t>74X74</t>
  </si>
  <si>
    <t>INCF413</t>
  </si>
  <si>
    <t>RENATO 74X74 2.19m2 (PHD70200R)</t>
  </si>
  <si>
    <t>NEOS462</t>
  </si>
  <si>
    <t>PRETORIA MATT (715009) 75X150 2.25M2</t>
  </si>
  <si>
    <t>75X150</t>
  </si>
  <si>
    <t>NEOS317</t>
  </si>
  <si>
    <t>CARRARA GLOSSY (75BT811) 75X150 2.25M2</t>
  </si>
  <si>
    <t>NEOS319</t>
  </si>
  <si>
    <t>VICTORIA DARK GREY (XYN715FY203) 75X150 2.25M2</t>
  </si>
  <si>
    <t>NEOS320</t>
  </si>
  <si>
    <t>VICTORIA LIGHT GREY (XYN715FY107) 75X150 2.25M2</t>
  </si>
  <si>
    <t>NEOS463</t>
  </si>
  <si>
    <t>CLASSIC STATUARIO MATT (XYN75BT820) 75X150 2.25M2</t>
  </si>
  <si>
    <t>NEOS464</t>
  </si>
  <si>
    <t>SAN MARTIN MATT (TM2741) 75X150 2.25M2</t>
  </si>
  <si>
    <t>NEOS425</t>
  </si>
  <si>
    <t>CARRARA GOLD 75X150 2.25M2</t>
  </si>
  <si>
    <t>NEOS161</t>
  </si>
  <si>
    <t>NEO CARRARA 80X160 2.56 M2</t>
  </si>
  <si>
    <t>80X160</t>
  </si>
  <si>
    <t>NEOS235</t>
  </si>
  <si>
    <t>LAURENT BLUE 80X160 2.56 M2</t>
  </si>
  <si>
    <t>NEOS339</t>
  </si>
  <si>
    <t>CLASSIC STATUARIO 80X160 2.56M2</t>
  </si>
  <si>
    <t>NEOS490</t>
  </si>
  <si>
    <t>TOLEDO IVORY 80X160 2.56 M2</t>
  </si>
  <si>
    <t>NEOS230</t>
  </si>
  <si>
    <t>TOLEDO CREMA (ARMANI CREMA) 80X160 2.56 M2</t>
  </si>
  <si>
    <t>NEOS340</t>
  </si>
  <si>
    <t>SIERRA NEVADA 80X160 2.56M2</t>
  </si>
  <si>
    <t>NEOS341</t>
  </si>
  <si>
    <t>STATUARIO ORO 80X160 2.56M2</t>
  </si>
  <si>
    <t>NEOS228</t>
  </si>
  <si>
    <t>DOWNTON GREY 80X160 2.56 M2</t>
  </si>
  <si>
    <t>NEOS229</t>
  </si>
  <si>
    <t>CALCUTTA BIANCO 80X160 2.56 M2</t>
  </si>
  <si>
    <t>NEOS231</t>
  </si>
  <si>
    <t>BAYONA SMOKE 80X160 2.56 M2</t>
  </si>
  <si>
    <t>NEOS232</t>
  </si>
  <si>
    <t>TOLEDO BIANCO 80X160 2.56 M2</t>
  </si>
  <si>
    <t>NEOS233</t>
  </si>
  <si>
    <t>TOLEDO GREY 80X160 2.56 M2</t>
  </si>
  <si>
    <t>NEOS234</t>
  </si>
  <si>
    <t>AMAZONITE VERDE 80X160 2.56 M2</t>
  </si>
  <si>
    <t>NEOS453</t>
  </si>
  <si>
    <t>LABRADORITE NATURAL HG 80x160 2.56 m2</t>
  </si>
  <si>
    <t>NEOS497</t>
  </si>
  <si>
    <t>STATUARIO EVA  80X80 1.92 M2</t>
  </si>
  <si>
    <t>80X80</t>
  </si>
  <si>
    <t>CGP014</t>
  </si>
  <si>
    <t>SIERRA NEVADA 80X80 1.92 M2</t>
  </si>
  <si>
    <t>NEOS335</t>
  </si>
  <si>
    <t>CARRARA GOLD (MT918005) 90X180 1.62M2</t>
  </si>
  <si>
    <t>90X180</t>
  </si>
  <si>
    <t>NEOS332</t>
  </si>
  <si>
    <t>GILACIER (XYN98BT016) 90X180 1.62M2</t>
  </si>
  <si>
    <t>NEOS330</t>
  </si>
  <si>
    <t>STATUARIO I  90X180 3.24M2</t>
  </si>
  <si>
    <t>NEOS427</t>
  </si>
  <si>
    <t>STATUARIO I 90X180 1.62M2</t>
  </si>
  <si>
    <t>NEOS336</t>
  </si>
  <si>
    <t>STATUARIO II 90X180 3.24M2</t>
  </si>
  <si>
    <t>NEOS337</t>
  </si>
  <si>
    <t>TARRASA DARK GREY (DPN918FY203) 90X180 1.62M2</t>
  </si>
  <si>
    <t>NEOS334</t>
  </si>
  <si>
    <t>TARRASA LIGHT GREY (DPN918FY102) 90X180 1.62M2</t>
  </si>
  <si>
    <t>NEOS331</t>
  </si>
  <si>
    <t>TURKISH RED ROOT (DPN918L231) 90X180 1.62M2</t>
  </si>
  <si>
    <t>NEOS316</t>
  </si>
  <si>
    <t>CARRARA GLOSSY (918L102) 90X180 1.62M2</t>
  </si>
  <si>
    <t>NEOS318</t>
  </si>
  <si>
    <t>STATUARIO GLOSSY (918L008) 90X180 1.62M2</t>
  </si>
  <si>
    <t>NEOS116</t>
  </si>
  <si>
    <t>NEO CARRARA 90X180 3.24M2</t>
  </si>
  <si>
    <t>NEOS308</t>
  </si>
  <si>
    <t>Indoor Wall Panel Black 2900x165x25 0.4785 m2</t>
  </si>
  <si>
    <t>Pieza</t>
  </si>
  <si>
    <t>NEOS311</t>
  </si>
  <si>
    <t>Indoor Wall Panel Brown 2900x165x25 0.4785 m2</t>
  </si>
  <si>
    <t>NEOS312</t>
  </si>
  <si>
    <t>Indoor Wall Panel EPgreywood 2900x195x12 0.5655 m2</t>
  </si>
  <si>
    <t>NEOS313</t>
  </si>
  <si>
    <t>Indoor Wall Panel Golden Teak 2900x195x12 0.5655 m2</t>
  </si>
  <si>
    <t>NEOS309</t>
  </si>
  <si>
    <t>Indoor Wall Panel Grey 2900x165x25 0.4785 m2</t>
  </si>
  <si>
    <t>NEOS426</t>
  </si>
  <si>
    <t>Indoor Wall Panel Nogal 2900x165x25 0.4785 m2</t>
  </si>
  <si>
    <t>NEOS310</t>
  </si>
  <si>
    <t>Indoor Wall Panel Teak 2900x165x25 0.4785 m2</t>
  </si>
  <si>
    <t>NEOS307</t>
  </si>
  <si>
    <t>Indoor Wall Panel White 2900x165x25 0.4785 m2</t>
  </si>
  <si>
    <t>NEOS399</t>
  </si>
  <si>
    <t>PS Wall Panel Black Gold 2900x120x12 0.3480 m2</t>
  </si>
  <si>
    <t>NEOS400</t>
  </si>
  <si>
    <t>PS Wall Panel Brown Gold 2900x120x12 0.3480 m2</t>
  </si>
  <si>
    <t>NEOS401</t>
  </si>
  <si>
    <t>PS Wall Panel White Gold 2900x120x12 0.3480 m2</t>
  </si>
  <si>
    <t>NEOS486</t>
  </si>
  <si>
    <t>Indoor Viga WPC Teak 2900x100x50</t>
  </si>
  <si>
    <t>NEOS485</t>
  </si>
  <si>
    <t>Indoor Viga WPC Walnut 2900x100x50</t>
  </si>
  <si>
    <t>NEOS025</t>
  </si>
  <si>
    <t>CALACATTA GOLD HEXAGON 28.5X33 1M2</t>
  </si>
  <si>
    <t>28.5x33</t>
  </si>
  <si>
    <t>NEOS190</t>
  </si>
  <si>
    <t>MANHATTAN COTTO 31X56 1.21M2</t>
  </si>
  <si>
    <t>31x56</t>
  </si>
  <si>
    <t>INCF417</t>
  </si>
  <si>
    <t>BABEL GRAY BR HDM36920R 35x70 1.68 m2</t>
  </si>
  <si>
    <t>35x70</t>
  </si>
  <si>
    <t>INCF416</t>
  </si>
  <si>
    <t>CALACATTA NATURAL BR HDM36910R 35x70 1.68 m2</t>
  </si>
  <si>
    <t>INCF419</t>
  </si>
  <si>
    <t>IROKO SATIN HDM37260R 35x70 1.68 m2</t>
  </si>
  <si>
    <t>INCN420</t>
  </si>
  <si>
    <t>ALTO DA SÉ 63X63 2.79m2 (PSI-63570R)</t>
  </si>
  <si>
    <t>NEOS380</t>
  </si>
  <si>
    <t>MALLA AVEIRO 30.5X30.5</t>
  </si>
  <si>
    <t>30.5x30.5</t>
  </si>
  <si>
    <t>NEOS381</t>
  </si>
  <si>
    <t>MALLA ÉVORA 30.5X30.5</t>
  </si>
  <si>
    <t>NEOS378</t>
  </si>
  <si>
    <t>MALLA LAGOS 30.2X26.2</t>
  </si>
  <si>
    <t>30.2x26.2</t>
  </si>
  <si>
    <t>NEOS379</t>
  </si>
  <si>
    <t>MALLA MADEIRA 30.2X26.2</t>
  </si>
  <si>
    <t>NEOS219</t>
  </si>
  <si>
    <t>ANTICATO NERO CARVING  60 X 120 CM 5MM 2.88M2</t>
  </si>
  <si>
    <t>NEOS217</t>
  </si>
  <si>
    <t>CEMENT ICE  MATTE 60 X 120 CM 5MM 2.88 M2</t>
  </si>
  <si>
    <t>NEOS214</t>
  </si>
  <si>
    <t>COTTI GREY MATTE 60 X 120 CM 5MM 2.88 M2</t>
  </si>
  <si>
    <t>NEOS205</t>
  </si>
  <si>
    <t>BILBAO 80X80 1.92 M2</t>
  </si>
  <si>
    <t>80x80</t>
  </si>
  <si>
    <t>NEOS206</t>
  </si>
  <si>
    <t>CORN WHITE 80X80 1.92 M2</t>
  </si>
  <si>
    <t>CPL00180</t>
  </si>
  <si>
    <t>LANJARON 80X80 1.92 M2</t>
  </si>
  <si>
    <t>NEOS024</t>
  </si>
  <si>
    <t xml:space="preserve"> RIOJA SLATE 31X56 1.21 M2</t>
  </si>
  <si>
    <t>31x31</t>
  </si>
  <si>
    <t>NEOS466</t>
  </si>
  <si>
    <t>LIFE TORTORA MATT 20X120 1.20M2</t>
  </si>
  <si>
    <t>20x20</t>
  </si>
  <si>
    <t>MARVALB20X120</t>
  </si>
  <si>
    <t>MARVAL BEIGE 20X120CM 1.20M2/CJ</t>
  </si>
  <si>
    <t>NEOS397</t>
  </si>
  <si>
    <t>Exterior WPC Wall Panel Grey 2900x220x26 0.6380 m2</t>
  </si>
  <si>
    <t>NEOS396</t>
  </si>
  <si>
    <t>Exterior WPC Wall Panel Rosewood 2900x220x26 0.6380 m2</t>
  </si>
  <si>
    <t>NEOS398</t>
  </si>
  <si>
    <t>Exterior WPC Wall Panel Teak 2900x220x26 0.6380 m2</t>
  </si>
  <si>
    <t>NEOS343</t>
  </si>
  <si>
    <t xml:space="preserve"> PISO VINÍLICO SPC DARK GREY 6006-8 1240X182X5MM 2.70M2</t>
  </si>
  <si>
    <t>NEOS344</t>
  </si>
  <si>
    <t xml:space="preserve"> PISO VINÍLICO SPC NATURAL CD7331-2 1240X182X5MM 2.70M2</t>
  </si>
  <si>
    <t>NEOS342</t>
  </si>
  <si>
    <t xml:space="preserve"> PISO VINÍLICO SPC TABACO 3736-3 1240X182X5MM 2.70M2</t>
  </si>
  <si>
    <t>NEOS402</t>
  </si>
  <si>
    <t>UV PVC Marble Board Albania White 1220x2800x3mm 3.1416 m2 (8232)</t>
  </si>
  <si>
    <t>NEOS404</t>
  </si>
  <si>
    <t>UV PVC Marble Board Beijin Green 1220x2800x3mm 3.1416 m2 (S1221)</t>
  </si>
  <si>
    <t>NEOS403</t>
  </si>
  <si>
    <t>UV PVC Marble Board Bélgica Grey 1220x2800x3mm 3.1416 m2 (S1350)</t>
  </si>
  <si>
    <t>NEOS405</t>
  </si>
  <si>
    <t>UV PVC Marble Board Libano Black 1220x2800x3mm 3.1416 m2 (KL 8146)</t>
  </si>
  <si>
    <t>NEOS406</t>
  </si>
  <si>
    <t>UV PVC Marble Board Singapur Dark 1220x2800x3mm 3.1416 m2 (8231-2)</t>
  </si>
  <si>
    <t>INCN419</t>
  </si>
  <si>
    <t>TRAIRÍ 58X58 2.68m2 (PSI-66910)</t>
  </si>
  <si>
    <t>Descripcion</t>
  </si>
  <si>
    <t>Presentación</t>
  </si>
  <si>
    <t>Precio sistema</t>
  </si>
  <si>
    <t>Descuento autorizado</t>
  </si>
  <si>
    <t>Precio venta Final</t>
  </si>
  <si>
    <t>Cemix</t>
  </si>
  <si>
    <t>Polvos</t>
  </si>
  <si>
    <t>Adhesivo</t>
  </si>
  <si>
    <t>CMX77</t>
  </si>
  <si>
    <t xml:space="preserve"> ADHESIVO PORCELANICO GRIS 20 KG</t>
  </si>
  <si>
    <t>Saco</t>
  </si>
  <si>
    <t>20kg</t>
  </si>
  <si>
    <t>CMX115</t>
  </si>
  <si>
    <t xml:space="preserve"> BLANCO CERAMICO SACO 20KG</t>
  </si>
  <si>
    <t>CMX05</t>
  </si>
  <si>
    <t xml:space="preserve"> BLANCO UNIVERSAL 20KG</t>
  </si>
  <si>
    <t>8X7</t>
  </si>
  <si>
    <t>CMX02</t>
  </si>
  <si>
    <t xml:space="preserve"> PEGAPISO Y MARMOL BLANCO  20 KG</t>
  </si>
  <si>
    <t>CMX01</t>
  </si>
  <si>
    <t xml:space="preserve"> PEGAZULEJO BLANCO 20KG</t>
  </si>
  <si>
    <t>6X5</t>
  </si>
  <si>
    <t>CMX202</t>
  </si>
  <si>
    <t xml:space="preserve"> PORCELANICO GRIS PSP 20KG</t>
  </si>
  <si>
    <t xml:space="preserve">Sobrepedido </t>
  </si>
  <si>
    <t>Recubrimientos reforzados</t>
  </si>
  <si>
    <t>CMX691</t>
  </si>
  <si>
    <t>ADEBLOK PLUS AP 25 KG</t>
  </si>
  <si>
    <t>25kg</t>
  </si>
  <si>
    <t>Niasa</t>
  </si>
  <si>
    <t>PALBAZUL</t>
  </si>
  <si>
    <t>ADHESIVO PARA ALBERCA AZUL 20 KG</t>
  </si>
  <si>
    <t>PALBBLC</t>
  </si>
  <si>
    <t>ADHESIVO PARA ALBERCA BLANCO 20 KG</t>
  </si>
  <si>
    <t>PMARBLC</t>
  </si>
  <si>
    <t>ADHESIVO PEGAMARMOL BLANCO 20 KG</t>
  </si>
  <si>
    <t>PAZBLC</t>
  </si>
  <si>
    <t>ADHESIVO PEGAZULEJO BLANCO 20 KG</t>
  </si>
  <si>
    <t>PVIBLC</t>
  </si>
  <si>
    <t>ADHESIVO PISO SOBRE PISO PEGAVITRO BLANCO 20 KG</t>
  </si>
  <si>
    <t>POBLC10</t>
  </si>
  <si>
    <t>ADHESIVO POLIMOR BLANCO 10 KG</t>
  </si>
  <si>
    <t>10kg</t>
  </si>
  <si>
    <t>POLBLC</t>
  </si>
  <si>
    <t>ADHESIVO POLIMOR BLANCO 20 KG</t>
  </si>
  <si>
    <t>PTRAD</t>
  </si>
  <si>
    <t>ADHESIVO TRADICIONAL C-PEGA BLANCO 20 KG</t>
  </si>
  <si>
    <t>Especiales</t>
  </si>
  <si>
    <t>BFG</t>
  </si>
  <si>
    <t>BLUE FENCE GALON</t>
  </si>
  <si>
    <t>Galón</t>
  </si>
  <si>
    <t>3.78 lts</t>
  </si>
  <si>
    <t>Boquillas</t>
  </si>
  <si>
    <t>BS</t>
  </si>
  <si>
    <t>BOQUICHAMP SELLADO CON ARENA 10 KG</t>
  </si>
  <si>
    <t>BF</t>
  </si>
  <si>
    <t>BOQUICHAMP ULTRAFINA SIN ARENA 5 KG</t>
  </si>
  <si>
    <t>5kg</t>
  </si>
  <si>
    <t>CMX..</t>
  </si>
  <si>
    <t>BOQUILLA EXTRAFINA 2KG</t>
  </si>
  <si>
    <t>2kg</t>
  </si>
  <si>
    <t>BOQUILLEX PLUS CON ARENA 10KG</t>
  </si>
  <si>
    <t>BOQUILLEX UNIVERSAL SIN ARENA 5KG</t>
  </si>
  <si>
    <t>CMX1022</t>
  </si>
  <si>
    <t>CEMIX ADEBLOCK CONSTRUCTOR 25KG</t>
  </si>
  <si>
    <t xml:space="preserve">Hasta agotar existencias </t>
  </si>
  <si>
    <t>CMX102</t>
  </si>
  <si>
    <t>CEMIX ADEBLOCK CONSTRUCTOR 40KG</t>
  </si>
  <si>
    <t>40kg</t>
  </si>
  <si>
    <t>CMX69</t>
  </si>
  <si>
    <t>CEMIX ADEBLOK PLUS 40KG</t>
  </si>
  <si>
    <t>CMX1200</t>
  </si>
  <si>
    <t>CEMIX ADEBLOK PLUS FINO 25 KG</t>
  </si>
  <si>
    <t>CMX120</t>
  </si>
  <si>
    <t>CEMIX ADEBLOK PLUS FINO 40KG</t>
  </si>
  <si>
    <t>CMX116</t>
  </si>
  <si>
    <t>CEMIX AMU BLANCO 20KG</t>
  </si>
  <si>
    <t>CMX780</t>
  </si>
  <si>
    <t>CEMIX APLANADO 25 KG</t>
  </si>
  <si>
    <t>CMX78</t>
  </si>
  <si>
    <t>CEMIX APLANADO 40 KGS</t>
  </si>
  <si>
    <t xml:space="preserve">40kg </t>
  </si>
  <si>
    <t>CMX49</t>
  </si>
  <si>
    <t>CEMIX BASECOAT GRIS PREMIUM 20KG.</t>
  </si>
  <si>
    <t>Acabados arquitectonicos -Recubrimiento</t>
  </si>
  <si>
    <t>CMX177</t>
  </si>
  <si>
    <t>CEMIX DECON-CRETO 20KG</t>
  </si>
  <si>
    <t>Preparacion de superficies</t>
  </si>
  <si>
    <t>CMX952</t>
  </si>
  <si>
    <t>CEMIX MORTERO SECO 25 KG</t>
  </si>
  <si>
    <t>CMX101</t>
  </si>
  <si>
    <t>CEMIX MORTERO SECO 40 KG</t>
  </si>
  <si>
    <t>CMX153</t>
  </si>
  <si>
    <t>CEMIX PASTA FINA PLUS 20 KG</t>
  </si>
  <si>
    <t>CMX134</t>
  </si>
  <si>
    <t>CEMIX PEGAZULEJO GRIS 20KG</t>
  </si>
  <si>
    <t>CMX175</t>
  </si>
  <si>
    <t>CHUKU-MIX CEMIX SACO 20KG</t>
  </si>
  <si>
    <t>FIJAPORC</t>
  </si>
  <si>
    <t>FIJAPORCELANICO BLANCO 20 KG</t>
  </si>
  <si>
    <t>CMX68</t>
  </si>
  <si>
    <t>FORMATOS GRANDES 20KG</t>
  </si>
  <si>
    <t>Yinsa</t>
  </si>
  <si>
    <t>Sobre pedido - Culiacán</t>
  </si>
  <si>
    <t>Mortero</t>
  </si>
  <si>
    <t>YIN02</t>
  </si>
  <si>
    <t>MORTERMAX ENJARRE EXTRAFINO 25 KG</t>
  </si>
  <si>
    <t>Sobre pedido - Mazatlán</t>
  </si>
  <si>
    <t>Sobre pedido - Mochis</t>
  </si>
  <si>
    <t>YIN01</t>
  </si>
  <si>
    <t>MORTERMAX PEGUE DE BLOCK F100 25KG</t>
  </si>
  <si>
    <t>CMX100</t>
  </si>
  <si>
    <t>PEGAPISO Y MARMOL GRIS  20 KG</t>
  </si>
  <si>
    <t>CMX03</t>
  </si>
  <si>
    <t>PORCELANICO BLANCO PSP 20KG</t>
  </si>
  <si>
    <t>UG</t>
  </si>
  <si>
    <t>ULTRAGROUT BOQUICHAMP 1.25KG</t>
  </si>
  <si>
    <t>1.25kg</t>
  </si>
  <si>
    <t>ULTRAGROUT BOQUICHAMP 4KG</t>
  </si>
  <si>
    <t>4kg</t>
  </si>
  <si>
    <t>Yeso</t>
  </si>
  <si>
    <t>YIN13</t>
  </si>
  <si>
    <t>YESO MAX YESO TIPO READYMIX 25KG</t>
  </si>
  <si>
    <t>YIN11</t>
  </si>
  <si>
    <t>YESO MOCUZARI 25KG</t>
  </si>
  <si>
    <t>YIN17</t>
  </si>
  <si>
    <t>YESO MOCUZARI FL 25KG</t>
  </si>
  <si>
    <t>Fortaleza</t>
  </si>
  <si>
    <t>Master - Culiacán</t>
  </si>
  <si>
    <t>FORT001</t>
  </si>
  <si>
    <t>CEMENTO FORTALEZA PORTLAND 30 R RS 50KG</t>
  </si>
  <si>
    <t>50kg</t>
  </si>
  <si>
    <t>Master - Mochis</t>
  </si>
  <si>
    <t>Master - Mazatlán</t>
  </si>
  <si>
    <t>FORT002</t>
  </si>
  <si>
    <t>MORTERO FORTALEZA 50 KG</t>
  </si>
  <si>
    <t>FORT005</t>
  </si>
  <si>
    <t>CEMENTO FORTALEZA PORTLAND 30 R RS 25KG</t>
  </si>
  <si>
    <t>FORT006</t>
  </si>
  <si>
    <t>MORTERO FORTALEZA 25KG</t>
  </si>
  <si>
    <t>Cruz Azul</t>
  </si>
  <si>
    <t>CCA001</t>
  </si>
  <si>
    <t>CEMENTO CRUZ AZUL PORTLAND 30 R RS 50KG</t>
  </si>
  <si>
    <t>CCA003</t>
  </si>
  <si>
    <t>MORTERO CRUZ AZUL 50 KG</t>
  </si>
  <si>
    <t>CCA007</t>
  </si>
  <si>
    <t>CEMENTO CRUZ AZUL PORTLAND 30 R RS 25KG</t>
  </si>
  <si>
    <t>CCA008</t>
  </si>
  <si>
    <t>MORTERO CRUZ AZUL 25KG</t>
  </si>
  <si>
    <t>Impermeabilizante</t>
  </si>
  <si>
    <t>Complementos Impermeabilizantes</t>
  </si>
  <si>
    <t>CMX53</t>
  </si>
  <si>
    <t xml:space="preserve">BARNIZ SELLADOR BRILLO GALON </t>
  </si>
  <si>
    <t>Galon</t>
  </si>
  <si>
    <t>NA</t>
  </si>
  <si>
    <t>Otros</t>
  </si>
  <si>
    <t>Protectores de superficies</t>
  </si>
  <si>
    <t>CMX32</t>
  </si>
  <si>
    <t xml:space="preserve">LIMPIADOR DE PISOS Y BOQUILLAS </t>
  </si>
  <si>
    <t>1lt</t>
  </si>
  <si>
    <t>Precio autorizado</t>
  </si>
  <si>
    <t>Precio paquete</t>
  </si>
  <si>
    <t>Urrea</t>
  </si>
  <si>
    <t>Grifería Urrea</t>
  </si>
  <si>
    <t>Gifería Urrea</t>
  </si>
  <si>
    <t>GRIFERÍA URREA</t>
  </si>
  <si>
    <t>Grifería Dica</t>
  </si>
  <si>
    <t>Gifería Dica</t>
  </si>
  <si>
    <t>GRIFERÍA DICA</t>
  </si>
  <si>
    <t>Ceramica Castel</t>
  </si>
  <si>
    <t>Sanitarios</t>
  </si>
  <si>
    <t>CAS382</t>
  </si>
  <si>
    <t>SANITARIO ONE PIECE VENUS BLANCO</t>
  </si>
  <si>
    <t>PIEZA</t>
  </si>
  <si>
    <t>Ovalin</t>
  </si>
  <si>
    <t>CAS395</t>
  </si>
  <si>
    <t>OVALIN CONSTANZA BLANCO 425*425*160</t>
  </si>
  <si>
    <t xml:space="preserve">Griferia </t>
  </si>
  <si>
    <t>Monomando</t>
  </si>
  <si>
    <t>CAS459</t>
  </si>
  <si>
    <t>MONOMANDO ALTO DAMASCO 3210C</t>
  </si>
  <si>
    <t>Lavabo con pedestal</t>
  </si>
  <si>
    <t>CAS100221</t>
  </si>
  <si>
    <t>LAVABO LUANDA 510*860*405</t>
  </si>
  <si>
    <t xml:space="preserve">Monomando </t>
  </si>
  <si>
    <t>CAS461</t>
  </si>
  <si>
    <t>MONOMANDO LAVABO BAJO DAMASCO 3212C</t>
  </si>
  <si>
    <t>CAS1351</t>
  </si>
  <si>
    <t xml:space="preserve">CONSTANZA BLANCO +MONOMANDO ALTO DAMASCO </t>
  </si>
  <si>
    <t>Paquete Castel</t>
  </si>
  <si>
    <t>CASPAQ259</t>
  </si>
  <si>
    <t>CASPAQ260</t>
  </si>
  <si>
    <t xml:space="preserve">Muebles castel </t>
  </si>
  <si>
    <t>CASPAQ261</t>
  </si>
  <si>
    <t>CAS25754</t>
  </si>
  <si>
    <t>GALICIA 40 HAYA 400X500X220mm (INCLUYE LAVABO )</t>
  </si>
  <si>
    <t>Haya</t>
  </si>
  <si>
    <t xml:space="preserve">Griferia castel </t>
  </si>
  <si>
    <t>CASPAQ262</t>
  </si>
  <si>
    <t>Cerámica Urrea</t>
  </si>
  <si>
    <t>PAQALHSO1</t>
  </si>
  <si>
    <t>TAZA MONET AL HUESO</t>
  </si>
  <si>
    <t>TANQUE ANDROMEDA GS 4.8 AL</t>
  </si>
  <si>
    <t>LAVABO AUSTRIA 4" HUESO</t>
  </si>
  <si>
    <t>PEDESTAL AUSTRIA HUESO</t>
  </si>
  <si>
    <t>PAQALCORZOBCO</t>
  </si>
  <si>
    <t>TAZA ANDROMEDA BLANCO</t>
  </si>
  <si>
    <t>LAVABO AUSTRIA 1 TAL BLANCO</t>
  </si>
  <si>
    <t>TQ1033A021</t>
  </si>
  <si>
    <t>TANQUE CORZO</t>
  </si>
  <si>
    <t>Pedestal Austria blanco</t>
  </si>
  <si>
    <t>PAQEHSO</t>
  </si>
  <si>
    <t>TAZA NAVIA STAR HUESO</t>
  </si>
  <si>
    <t>TANQUE FÉNIX RD HUESO</t>
  </si>
  <si>
    <t>LAVABO COSMOS 4" HUESO</t>
  </si>
  <si>
    <t>TZ2051A021</t>
  </si>
  <si>
    <t>ONE PIECE QUADRO II</t>
  </si>
  <si>
    <t>TZ2053A021</t>
  </si>
  <si>
    <t>ONE PÍECE VIESCA</t>
  </si>
  <si>
    <t>TZ2060A021</t>
  </si>
  <si>
    <t>ONE PIECE SERRA</t>
  </si>
  <si>
    <t>TZ2061A021</t>
  </si>
  <si>
    <t>ONE PIECE ATLANTICA BLANCO II</t>
  </si>
  <si>
    <t>WC.4006.01</t>
  </si>
  <si>
    <t>SANITARIO ONE PIECE DICA BLANCO ALARGADO</t>
  </si>
  <si>
    <t>WC.4007.01</t>
  </si>
  <si>
    <t>One piece Dica 4007</t>
  </si>
  <si>
    <t>KLM1003A021</t>
  </si>
  <si>
    <t>Paquete Lavabo Kuun más Monomando</t>
  </si>
  <si>
    <t>LV.4008.01</t>
  </si>
  <si>
    <t>Lavabo Cuadrado de 1 Taladro (Blanco)</t>
  </si>
  <si>
    <t>Medida</t>
  </si>
  <si>
    <t xml:space="preserve">Descuento </t>
  </si>
  <si>
    <t>Redtools</t>
  </si>
  <si>
    <t>Herramientas</t>
  </si>
  <si>
    <t>REDTOOLS</t>
  </si>
  <si>
    <t>Aquaplas</t>
  </si>
  <si>
    <t xml:space="preserve">Plomeria </t>
  </si>
  <si>
    <t xml:space="preserve">Tinacos </t>
  </si>
  <si>
    <t>CMX200</t>
  </si>
  <si>
    <t>TINACO TRICAPA NEGRO 750 LT</t>
  </si>
  <si>
    <t>LT</t>
  </si>
  <si>
    <t>CMX26</t>
  </si>
  <si>
    <t>TINACO TRICAPA NEGRO 450 LT BASICO</t>
  </si>
  <si>
    <t>CMX171</t>
  </si>
  <si>
    <t>TINACO TRICAPA NEGRO 1100 LT</t>
  </si>
  <si>
    <t>CMX42</t>
  </si>
  <si>
    <t>TINACO TRICAPA BEIGE 750 LT BASICO</t>
  </si>
  <si>
    <t xml:space="preserve">Machen </t>
  </si>
  <si>
    <t xml:space="preserve">Tarjas </t>
  </si>
  <si>
    <t>MCKENDRA</t>
  </si>
  <si>
    <t>TARJA MULTIFUNCIONAL KENDRA</t>
  </si>
  <si>
    <t xml:space="preserve">Pieza </t>
  </si>
  <si>
    <t>MCKENDALL</t>
  </si>
  <si>
    <t>TARJA MULTIFUNCIONAL KENDALL</t>
  </si>
  <si>
    <t xml:space="preserve">Muebles </t>
  </si>
  <si>
    <t>Mueble de Baño</t>
  </si>
  <si>
    <t>MCPLATINO</t>
  </si>
  <si>
    <t>MUEBLE CABINET PLATINO</t>
  </si>
  <si>
    <t>MCDALISO</t>
  </si>
  <si>
    <t>MUEBLE ALUMINIO DALISO</t>
  </si>
  <si>
    <t>MCUKESH</t>
  </si>
  <si>
    <t>Mueble Aluminio Ukesh</t>
  </si>
  <si>
    <t xml:space="preserve">Agotado con proveedor, llega hasta diciembre </t>
  </si>
  <si>
    <t>MCAGNI</t>
  </si>
  <si>
    <t>MUEBLE CABINET AGNI</t>
  </si>
  <si>
    <t>MCRUBI</t>
  </si>
  <si>
    <t>MUEBLE CABINET RUBI (ESPEJO LED RECTANGULAR)</t>
  </si>
  <si>
    <t>MCONIX</t>
  </si>
  <si>
    <t>MUEBLE CABINET ONIX (ESPEJO)</t>
  </si>
  <si>
    <t>MCFORCISM</t>
  </si>
  <si>
    <t>MUEBLE CABINET FORCIS M</t>
  </si>
  <si>
    <t>MCAGRO</t>
  </si>
  <si>
    <t>MUEBLE CABINET AGRO</t>
  </si>
  <si>
    <t>MCLUTHER</t>
  </si>
  <si>
    <t>MUEBLE CABINET LUTHER</t>
  </si>
  <si>
    <t>MCLATON</t>
  </si>
  <si>
    <t>MUEBLE CABINET LATON</t>
  </si>
  <si>
    <t>Greda</t>
  </si>
  <si>
    <t>Perfiles</t>
  </si>
  <si>
    <t>Perfiles Greda</t>
  </si>
  <si>
    <t>GRE126</t>
  </si>
  <si>
    <t>PERFIL DE ALUMINIO (L) A350 PLATA 10 ML X 2.44 MTS</t>
  </si>
  <si>
    <t>GRE01</t>
  </si>
  <si>
    <t>PERFIL DE ALUMINIO SILVER POLISHED 2.44X10ML</t>
  </si>
  <si>
    <t>GRE03</t>
  </si>
  <si>
    <t>PERFIL DE ALUMINIO SILVER MATT 2.44X10ML</t>
  </si>
  <si>
    <t>GRE47</t>
  </si>
  <si>
    <t>PERFIL DE ALUMINIO BLACK POLISHED 2.44X10ML</t>
  </si>
  <si>
    <t>Quarella&amp;Decor</t>
  </si>
  <si>
    <t>Espejos</t>
  </si>
  <si>
    <t>Espejos Quarella</t>
  </si>
  <si>
    <t>QD003</t>
  </si>
  <si>
    <t>ESPEJO VERIN 80X60 CM BT LED</t>
  </si>
  <si>
    <t>QD006</t>
  </si>
  <si>
    <t>ESPEJO AROSA 60 CM DECO LED</t>
  </si>
  <si>
    <t>QD0073</t>
  </si>
  <si>
    <t xml:space="preserve">ESPEJO SARIEGO </t>
  </si>
  <si>
    <t>QD0074</t>
  </si>
  <si>
    <t>ESPEJO RIOSA</t>
  </si>
  <si>
    <t>QD0075</t>
  </si>
  <si>
    <t xml:space="preserve">ESPEJO TINEO </t>
  </si>
  <si>
    <t>QD0076</t>
  </si>
  <si>
    <t xml:space="preserve">ESPEJO LANGREO </t>
  </si>
  <si>
    <t>QD0077</t>
  </si>
  <si>
    <t>ESPEJO PRAVIA</t>
  </si>
  <si>
    <t>RoalVolt</t>
  </si>
  <si>
    <t>Espejos Roalvolt</t>
  </si>
  <si>
    <t>ESPEJO LED REDONDO 60CM 3 TONOS-ANTIEMPAÑANTE ROALVOLT</t>
  </si>
  <si>
    <t>60 cm</t>
  </si>
  <si>
    <t>ESPEJO LED RECTANGULAR 50x70CM TONOS-ANTIEMPAÑANTE ROALVOLT</t>
  </si>
  <si>
    <t>50x70 cm</t>
  </si>
  <si>
    <t>Fortius</t>
  </si>
  <si>
    <t>Lavaderos</t>
  </si>
  <si>
    <t>Lavadero de Granito</t>
  </si>
  <si>
    <t>DEB10</t>
  </si>
  <si>
    <t>LAVADERO DE GRANITO EMPOTRABLE CON PILA 61*61CM</t>
  </si>
  <si>
    <t>DEB11</t>
  </si>
  <si>
    <t>Lavadero Granito ND sin pila para empotrar 51 * 65 cm</t>
  </si>
  <si>
    <t>DEB12</t>
  </si>
  <si>
    <t>Lavadero Granito sin pila para empotrar 60*40 CM</t>
  </si>
  <si>
    <t>DEB8</t>
  </si>
  <si>
    <t>Lavadero Granito ND Chico para empotrar 75 * 70 cm</t>
  </si>
  <si>
    <t>Precio regular</t>
  </si>
  <si>
    <t>Descuento</t>
  </si>
  <si>
    <t>Precio Remate</t>
  </si>
  <si>
    <t>Descontinuado</t>
  </si>
  <si>
    <t>CAS2227</t>
  </si>
  <si>
    <t>PISO AMANI GREY PULIDO 60X120 CAJA 1.44M2</t>
  </si>
  <si>
    <t>CAS100261</t>
  </si>
  <si>
    <t>PISO GEORGIA ACQUA 80X160 2.56M2</t>
  </si>
  <si>
    <t>CAS100268</t>
  </si>
  <si>
    <t>PISO OASIS BLANCO 120X120 2.88M2</t>
  </si>
  <si>
    <t>CAS21</t>
  </si>
  <si>
    <t>PISO PORCELANICO REC IMPERIA NEGRO 60X60 1.44 M2 CAJA</t>
  </si>
  <si>
    <t>CAS14</t>
  </si>
  <si>
    <t xml:space="preserve">PISO PORCELANICO REC TOSCANA 60X60 1.44 M2 CAJA </t>
  </si>
  <si>
    <t>CAS08</t>
  </si>
  <si>
    <t>PISO PORCELANICO REC BAVENO 60X60 1.44M2 CAJA</t>
  </si>
  <si>
    <t>CAS999993</t>
  </si>
  <si>
    <t>PISO BUSAN PULIDO WHITE 60X120 1.44</t>
  </si>
  <si>
    <t>CAS100193</t>
  </si>
  <si>
    <t>PISOS ECLIPSE NEGRO VP 60X120 1.44M2</t>
  </si>
  <si>
    <t>CAS100234</t>
  </si>
  <si>
    <t>PISO BELLAGIO NEGRO 60X60 1.44M2</t>
  </si>
  <si>
    <t>Hydromagic</t>
  </si>
  <si>
    <t>Tinas</t>
  </si>
  <si>
    <t>Tinas Hydromagic</t>
  </si>
  <si>
    <t>HYDRO8</t>
  </si>
  <si>
    <t xml:space="preserve">TINA DE  HIDROMASAJE PADUA I STATUS 1.20X.75.36 </t>
  </si>
  <si>
    <t>Ceramica</t>
  </si>
  <si>
    <t>Lavabos y Ovalines</t>
  </si>
  <si>
    <t>QD052</t>
  </si>
  <si>
    <t>OVALIN QUARELLA TIMOR 500X390X130 MM</t>
  </si>
  <si>
    <t>QD057</t>
  </si>
  <si>
    <t>OVALIN QUARELLA GUINEA 405X405X145 MM</t>
  </si>
  <si>
    <t>QD059</t>
  </si>
  <si>
    <t>OVALIN QUARELLA MUNA NEGRO 380X380X135 MM</t>
  </si>
  <si>
    <t>QD044</t>
  </si>
  <si>
    <t>OVALIN QUARELLA  ARUBA 500X405X120MM</t>
  </si>
  <si>
    <t>QD055</t>
  </si>
  <si>
    <t>OVALIN QUARELLA JAVA PLATA 360X360X125 MM</t>
  </si>
  <si>
    <t>QD054</t>
  </si>
  <si>
    <t>OVALIN QUARELLA ANTILLAS 500X355X110 MM</t>
  </si>
  <si>
    <t>QD053</t>
  </si>
  <si>
    <t>OVALIN QUARELLA SAMOA ORO 360X360X125MM</t>
  </si>
  <si>
    <t>QD072</t>
  </si>
  <si>
    <t>OVALIN QUARELLA TASOS ORO 450X320X135</t>
  </si>
  <si>
    <t>CAS770</t>
  </si>
  <si>
    <t>VOSS 66 GRAY 60X60 5PZ 1.80M2</t>
  </si>
  <si>
    <t>CAS100105</t>
  </si>
  <si>
    <t>PISO CITY 66 IVORY 60X60 5PZ 1.80M2</t>
  </si>
  <si>
    <t>CAS10099</t>
  </si>
  <si>
    <t>PISO CITY 66 OXFORD 60X60 5PZ 1.80M2</t>
  </si>
  <si>
    <t>CAS2001</t>
  </si>
  <si>
    <t>PISO E-DIVA 44 BEIGE 47X47 9PZ 1.99M2</t>
  </si>
  <si>
    <t>CAS100106</t>
  </si>
  <si>
    <t>PISO DOMINIQUE 26 WHITE MATE 22.5X60 1.89M2</t>
  </si>
  <si>
    <t>CAS9403</t>
  </si>
  <si>
    <t>PISO CANTABRIA 32 BEIGE 30X120 1.76M2 REC</t>
  </si>
  <si>
    <t>CAS9406</t>
  </si>
  <si>
    <t>PISO RECT COUVET 22 SILVER 20X120 1.83M2</t>
  </si>
  <si>
    <t>CAS9404</t>
  </si>
  <si>
    <t>PISO REC COUVET 22 ALMOND 20X120 1.83M2</t>
  </si>
  <si>
    <t>CAS9405</t>
  </si>
  <si>
    <t>PISO RECT COUVET 22 GOLD 20X120 1.83M2</t>
  </si>
  <si>
    <t>CAS4523</t>
  </si>
  <si>
    <t xml:space="preserve">VOSS 66 IVORY 60X60 5PZ 1.80M2 CALIDAD COMERCIAL </t>
  </si>
  <si>
    <t>CAS94017</t>
  </si>
  <si>
    <t>PISO YUNN 32 MOKA 30X120 1.76M2</t>
  </si>
  <si>
    <t>Kit Constanza</t>
  </si>
  <si>
    <t>CAS7485</t>
  </si>
  <si>
    <t>KIT CONSTANZA PRO (LV CONSTANZA PRO+MONOM ALTO DAMASCO B)</t>
  </si>
  <si>
    <t xml:space="preserve">Sanitario </t>
  </si>
  <si>
    <t>CAS7514</t>
  </si>
  <si>
    <t>WC NEMESIS PRO</t>
  </si>
  <si>
    <t>Griferia</t>
  </si>
  <si>
    <t>CAS462</t>
  </si>
  <si>
    <t>MONOMANDO LAVABO BAJO OLIMPIA 6801V</t>
  </si>
  <si>
    <t>GRE160</t>
  </si>
  <si>
    <t>LISTELO ALUM. PLATA BRILLO 10X12MM</t>
  </si>
  <si>
    <t>GRE138</t>
  </si>
  <si>
    <t>LISTELO ALUM. 10X25 PLATA BRILLO</t>
  </si>
  <si>
    <t>GRE166</t>
  </si>
  <si>
    <t>PELDAÑO ALUMINIO INT. 20MM PLATA</t>
  </si>
  <si>
    <t>GRE164</t>
  </si>
  <si>
    <t>PERFIL DE ALUMINIO (T) A20 PLATA BRILLO 10MLX2.44M</t>
  </si>
  <si>
    <t>GRE50</t>
  </si>
  <si>
    <t>PERFIL DE ALUMINIO GOLD MATT 2.44X10</t>
  </si>
  <si>
    <t>GRE02</t>
  </si>
  <si>
    <t>PERFIL DE ALUMINIO BRONZE POLISHED 2.44X10ML</t>
  </si>
  <si>
    <t>GRE49</t>
  </si>
  <si>
    <t>PERFIL DE ALUMINIO GOLD POLISHED 2.44X10</t>
  </si>
  <si>
    <t>GRE53</t>
  </si>
  <si>
    <t>PERFIL DE ALUMINIO CHAMPAGNE MATT 2.44X10</t>
  </si>
  <si>
    <t>GRE162</t>
  </si>
  <si>
    <t>PERFIL DE ALUMINIO MARFIL 10.5MM</t>
  </si>
  <si>
    <t>GRE218</t>
  </si>
  <si>
    <t>PERFIL ALUMINIO COFFEE MATE 10 MM X 2.44 M</t>
  </si>
  <si>
    <t>GRE51</t>
  </si>
  <si>
    <t>PERFIL DE ALUMINIO BRONZE MATT 2.44X10</t>
  </si>
  <si>
    <t>GRE21800</t>
  </si>
  <si>
    <t>PERFIL ALUMINIO ROSE GOLD MATE 10MM X 2.44M</t>
  </si>
  <si>
    <t>GRE159</t>
  </si>
  <si>
    <t>LISTELO ALUM. BRONCE BRILLO 10X12MM</t>
  </si>
  <si>
    <t>GRE167</t>
  </si>
  <si>
    <t>PELDAÑO ALUMINIO INT. 20MM BRONCE</t>
  </si>
  <si>
    <t>GRE165</t>
  </si>
  <si>
    <t>PERFIL DE ALUMINIO (T) A20 BRONCE BRILLO 10MLX2.44M</t>
  </si>
  <si>
    <t>GRE183</t>
  </si>
  <si>
    <t>PERFIL DE ALUMINIO ROSE GOLD 10 MM X 2.44 M</t>
  </si>
  <si>
    <t>GRE52</t>
  </si>
  <si>
    <t>PERFIL DE ALUMINIO CHAMPAGNE POLISHED 2.44X10</t>
  </si>
  <si>
    <t>GRE137</t>
  </si>
  <si>
    <t>LISTELO ALUM 10X25 MM. BRONCE BRILLO</t>
  </si>
  <si>
    <t>GRE163</t>
  </si>
  <si>
    <t>PERFIL DE ALUMINIO MARRON 10.5MM</t>
  </si>
  <si>
    <t>GRE154</t>
  </si>
  <si>
    <t>PERFIL DE ALUMINIO 10X12 MM  PLATA BRILLO</t>
  </si>
  <si>
    <t>GRE158</t>
  </si>
  <si>
    <t>ZOCLO DE ALUMINO COLOR BRONCE 7CM X 2.44M</t>
  </si>
  <si>
    <t>GRE155</t>
  </si>
  <si>
    <t>ZOCLO DE ALUMINO COLOR PLATA 7CM X 2.44M</t>
  </si>
  <si>
    <t>GRE181</t>
  </si>
  <si>
    <t>PERFIL ALUMINIO OLIVE MATE 10 MM X 2.44 M PZA</t>
  </si>
  <si>
    <t>Mallas</t>
  </si>
  <si>
    <t>Mallas greda</t>
  </si>
  <si>
    <t>GRE128</t>
  </si>
  <si>
    <t>MALLA IBERIA BEIGE 30X30</t>
  </si>
  <si>
    <t>GRE177</t>
  </si>
  <si>
    <t>MALLA CAIRO 30X30 PZA</t>
  </si>
  <si>
    <t>GRE132</t>
  </si>
  <si>
    <t>MALLA LATITUDE CAFE 30X30</t>
  </si>
  <si>
    <t>GRE171</t>
  </si>
  <si>
    <t>MALLA FARAON 30X30 PZA</t>
  </si>
  <si>
    <t>GRE151</t>
  </si>
  <si>
    <t>MOSAICO 30X30 VINTAGE GOLD</t>
  </si>
  <si>
    <t>GRE24</t>
  </si>
  <si>
    <t>MOSAICO ELEGANCE BEIGE 24X24 CM</t>
  </si>
  <si>
    <t>Fachada</t>
  </si>
  <si>
    <t>GRE217</t>
  </si>
  <si>
    <t>NOVO FACHADA GALARZA CAMEL 40X60 PZA</t>
  </si>
  <si>
    <t>GRE210</t>
  </si>
  <si>
    <t>NOVO FACHADA LAJA PERLA 15X60 CM  PIEZA</t>
  </si>
  <si>
    <t>GRE214</t>
  </si>
  <si>
    <t>NOVO FACHADA LAJA AZURE 15X60 PZA-DESCONTINUADA</t>
  </si>
  <si>
    <t>GRE254</t>
  </si>
  <si>
    <t>MOSAICO VALENCIA BEIGE 30X30 CM</t>
  </si>
  <si>
    <t>GRE22</t>
  </si>
  <si>
    <t>MOSAICO CHES METAL 30X30 CM</t>
  </si>
  <si>
    <t>GRE216</t>
  </si>
  <si>
    <t>NOVO FACHADA LAJA VOLCANICA 15X60 PZA</t>
  </si>
  <si>
    <t>GRE45</t>
  </si>
  <si>
    <t>MOSAICO GREEN NATURAL T-2 30X30 CM</t>
  </si>
  <si>
    <t>GRE257</t>
  </si>
  <si>
    <t>MOSAICO LISBOA MARRON 30X30 CM</t>
  </si>
  <si>
    <t>GRE44</t>
  </si>
  <si>
    <t>MOSAICO BLUE DREAM T-3 30X30 CM</t>
  </si>
  <si>
    <t>GRE174</t>
  </si>
  <si>
    <t>MALLA CARRARA MOSA 30X30 PZA</t>
  </si>
  <si>
    <t>GRE136</t>
  </si>
  <si>
    <t>MALLA GALAXI DARK 30X30</t>
  </si>
  <si>
    <t>GRE173</t>
  </si>
  <si>
    <t>MALLA RAMSES 30X30 PZA</t>
  </si>
  <si>
    <t>GRE179</t>
  </si>
  <si>
    <t>MALLA BRILLO BLUE DREAM 30X30 PZA GREDA</t>
  </si>
  <si>
    <t>GRE129</t>
  </si>
  <si>
    <t>MALLA LATITUDE BEIGE 30X30</t>
  </si>
  <si>
    <t>GRE144</t>
  </si>
  <si>
    <t>MALLA LATITUDE INOX 30X30</t>
  </si>
  <si>
    <t>GRE133</t>
  </si>
  <si>
    <t>MALLA ARGENTA SILVER 30X30</t>
  </si>
  <si>
    <t>GRE212</t>
  </si>
  <si>
    <t>NOVO FACHADA PIEDRIN OXFORD 15X60 CM PIEZA</t>
  </si>
  <si>
    <t>GRE153</t>
  </si>
  <si>
    <t>MALLA ITALIA BEIGE 30X30</t>
  </si>
  <si>
    <t>GRE131</t>
  </si>
  <si>
    <t>MALLA BLACK AND WHITE 30X30</t>
  </si>
  <si>
    <t>GRE145</t>
  </si>
  <si>
    <t>MALLA COSMOS SILVER 30X30</t>
  </si>
  <si>
    <t>GRE175</t>
  </si>
  <si>
    <t>MALLA MARFIL MOSA 30X30 PZA</t>
  </si>
  <si>
    <t>GRE130</t>
  </si>
  <si>
    <t>MALLA BRILLO BEIGE MOKA 30X30</t>
  </si>
  <si>
    <t>GRE146</t>
  </si>
  <si>
    <t>MALLA NILO SILVER  30X30</t>
  </si>
  <si>
    <t>GRE127</t>
  </si>
  <si>
    <t>MALLA ARGENTA BEIGE 30X30</t>
  </si>
  <si>
    <t>GRE143</t>
  </si>
  <si>
    <t>MALLA LISBOA BEIGE 30X30</t>
  </si>
  <si>
    <t>GRE119</t>
  </si>
  <si>
    <t>MOSAICO 30X30 SPACE BLACK</t>
  </si>
  <si>
    <t>GRE152</t>
  </si>
  <si>
    <t>MALLA ATLANTIC BLUE 30X30</t>
  </si>
  <si>
    <t>GRE150</t>
  </si>
  <si>
    <t>MOSAICO 30X30 PARIS GOLD</t>
  </si>
  <si>
    <t>GRE134</t>
  </si>
  <si>
    <t>MALLA BRASIL BEIGE 30X30</t>
  </si>
  <si>
    <t xml:space="preserve">Muebles Machen </t>
  </si>
  <si>
    <t>MCZAFIRO</t>
  </si>
  <si>
    <t>MUEBLE CABINET ZAFIRO (ESPEJO LED)</t>
  </si>
  <si>
    <t>MCCUARZO</t>
  </si>
  <si>
    <t>MUEBLE CABINET CUARZO</t>
  </si>
  <si>
    <t>MCJASPE</t>
  </si>
  <si>
    <t>MUEBLE CABINET JASPE</t>
  </si>
  <si>
    <t>Muebles Castel</t>
  </si>
  <si>
    <t>CAS542</t>
  </si>
  <si>
    <t>MUEBLE DE BAÑO ALMERIA 100 1000X450X500</t>
  </si>
  <si>
    <t>CAS2123</t>
  </si>
  <si>
    <t>MUEBLE DE BAÑO SORIA 120 ROBLE NATURAL 1200X840X450</t>
  </si>
  <si>
    <t>TZ2062A021</t>
  </si>
  <si>
    <t>ONE PIECE BRAVO</t>
  </si>
  <si>
    <t>LAVABO DICA BLANCO CON MONOMANDO (LAV LV.4302.01+MON 4439)</t>
  </si>
  <si>
    <t>Harrintong</t>
  </si>
  <si>
    <t>Ceramica Harrintong</t>
  </si>
  <si>
    <t>Lavabo</t>
  </si>
  <si>
    <t>BAS-001</t>
  </si>
  <si>
    <t>LAVABO DOVER RECT SP BLANCO</t>
  </si>
  <si>
    <t>BAS-002</t>
  </si>
  <si>
    <t>LAVABO BODIAM RED SP BLANCO</t>
  </si>
  <si>
    <t>BAS-003</t>
  </si>
  <si>
    <t>LAVABO OXFORD RECT SP BLANCO</t>
  </si>
  <si>
    <t>BAS-004</t>
  </si>
  <si>
    <t>LAVABO CARDIFF RED SP BLANCO</t>
  </si>
  <si>
    <t>BAS-005</t>
  </si>
  <si>
    <t>LAVABO ROCHESTER RECT SP BLANCO</t>
  </si>
  <si>
    <t>BAS-006</t>
  </si>
  <si>
    <t>LAVABO LANCASTER RED SP BLANCO</t>
  </si>
  <si>
    <t>BAS-007</t>
  </si>
  <si>
    <t>LAVABO ABADIA REDONDO SOBRE PONER</t>
  </si>
  <si>
    <t>BAS-008</t>
  </si>
  <si>
    <t>LAVABO HEVER RED SP BLANCO</t>
  </si>
  <si>
    <t>BAS-009</t>
  </si>
  <si>
    <t>LAVABO CARDIGAN CUADRADO DSP BLANCO</t>
  </si>
  <si>
    <t>Sanitario</t>
  </si>
  <si>
    <t>TL-W001</t>
  </si>
  <si>
    <t>WC ONE PIECE LONDON BLANCO</t>
  </si>
  <si>
    <t>TL-W002</t>
  </si>
  <si>
    <t>WC ONE PIECE LIVERPOOL BLANCO</t>
  </si>
  <si>
    <t>TL-W002CC</t>
  </si>
  <si>
    <t>WC ONE PIECE LIVERPOOL BLANCO C.C.</t>
  </si>
  <si>
    <t>TL-W003</t>
  </si>
  <si>
    <t>WC ONE PIECE MANCHESTER BLANCO</t>
  </si>
  <si>
    <t xml:space="preserve">Daltile </t>
  </si>
  <si>
    <t>G1042448R1P7</t>
  </si>
  <si>
    <t>G104 60X120 Trend Black Rectificado 1a Cal 1.44M2</t>
  </si>
  <si>
    <t>ZAR41836C1P7</t>
  </si>
  <si>
    <t>ZAR4 45 cm x 90 cm Artesa Obscuro 1a Cal. 1.62M2</t>
  </si>
  <si>
    <t>GSS21224RC1P7</t>
  </si>
  <si>
    <t>GSS2 30 cm x 60 cm Rect. Sandstone Gray 1a. Cal. 1.44m2</t>
  </si>
  <si>
    <t>ZAM61836RC1P7</t>
  </si>
  <si>
    <t>ZAM6 45 cm x 90 cm Rect. Atempo Gris1a Cal 1.6M2</t>
  </si>
  <si>
    <t>LH0122MS1Y2</t>
  </si>
  <si>
    <t>LH01 5x5 Café Lyndhurst 1a.Cal 2.19M2</t>
  </si>
  <si>
    <t>ZAW2836RD1P7</t>
  </si>
  <si>
    <t>ZAW2 20 cm x 90 cm Rect Alder Wood Walnut 1a Cal 172 M2 CAJA</t>
  </si>
  <si>
    <t>ZK071836C1P7</t>
  </si>
  <si>
    <t>ZK07 45 cm x 90 cm Kalos Gris 1a Cal 1.62M2</t>
  </si>
  <si>
    <t>ZAR31836C1P7</t>
  </si>
  <si>
    <t>ZAR3 45 cm x 90 cm Artesa Gris 1a. Cal 1.62M2</t>
  </si>
  <si>
    <t>G1032424RC1P7</t>
  </si>
  <si>
    <t>G103 60 cm x 60 cm Rect. Trend Dark Gray 1a. Cal. 1.8M2</t>
  </si>
  <si>
    <t>GSS22424C1P7</t>
  </si>
  <si>
    <t>GSS2 60.5CM X 60.5CM Sandstone Gray 1a cal 1.82M2</t>
  </si>
  <si>
    <t>GFT21836RC1P7</t>
  </si>
  <si>
    <t>GFT2 45 cm x 90 cm Rect. Finisterra Gray 1a. Cal 1.6M2</t>
  </si>
  <si>
    <t>ZXN11060R1P7</t>
  </si>
  <si>
    <t>ZXN1 25 cm x 153 cm Rect. Xenia Greige 1a. Cal. 1.16M2</t>
  </si>
  <si>
    <t>EM02836D1P7</t>
  </si>
  <si>
    <t>EM02 20 cm x 90 cm Emblem Brown 1a. Cal 1.81m2</t>
  </si>
  <si>
    <t>EM01836D1P7</t>
  </si>
  <si>
    <t>EM01 20 cm x 90 cm Emblem Beige 1a. Cal 1.81m2</t>
  </si>
  <si>
    <t>GC511320L1P2</t>
  </si>
  <si>
    <t>GC51 34 cm x 50 cm ClassicoMulticolor 1a. Cal 1.2M2</t>
  </si>
  <si>
    <t>ZMR52448PR1P7</t>
  </si>
  <si>
    <t>ZMR5 59x118cm Rect. Marmi Cream. 1a. Cal 1.37M2</t>
  </si>
  <si>
    <t>ZUR41218C1P7</t>
  </si>
  <si>
    <t>ZUR4 30cm x 45cm Urbania Cobalt Blue 1a. Cal 1.36M2</t>
  </si>
  <si>
    <t>ZA611836RC1P7</t>
  </si>
  <si>
    <t>ZA61 45 cm x 90 cm. Rect. Aurora Bianco 1a. Cal 1.6M2</t>
  </si>
  <si>
    <t>ZC321224R1P7</t>
  </si>
  <si>
    <t>ZC32 30x60 Corso Dark Gray Rect. 1a. Cal. 1.26 M2 CAJA</t>
  </si>
  <si>
    <t>EM02836B1P7</t>
  </si>
  <si>
    <t>EM02 20x90 Emblem Brown 1a. Cal 1.45M2</t>
  </si>
  <si>
    <t>GSZ11836RC1P7</t>
  </si>
  <si>
    <t>GSZ1 45 cm x 90 cm Rect. Spazio Crema 1a. Cal 1.6M2</t>
  </si>
  <si>
    <t>ZKA132641PU</t>
  </si>
  <si>
    <t>ZKA1 80x160 Katania Ivory 1a. Cal. 1.28M2</t>
  </si>
  <si>
    <t>ZXN41060R1P7</t>
  </si>
  <si>
    <t>ZXN4 25 cm x 153 cm Rect. Xenia Café 1a Cal. 1.16M2</t>
  </si>
  <si>
    <t>ZGJ318181P2</t>
  </si>
  <si>
    <t>ZGJ3 45x45 Bengal SlateMulticolor 1a Cal 1.63M2</t>
  </si>
  <si>
    <t>ZAM51836RC1P7</t>
  </si>
  <si>
    <t>ZAM5 45 cm x 90 cm Rect. Atempo Marfil 1a Cal 1.6M2</t>
  </si>
  <si>
    <t>ZAM215151P7</t>
  </si>
  <si>
    <t>ZAM2 37cm x 37 cm Amely Blanco 1a Cal 2.11M2</t>
  </si>
  <si>
    <t>ZS362424C1P7</t>
  </si>
  <si>
    <t>ZS36 60.5 cm x 60.5 cm Stratto Light Gray 1a. Cal 1.83 M2</t>
  </si>
  <si>
    <t>GA112448R1P7</t>
  </si>
  <si>
    <t>GA11 60x120 Ardesia Dark Gray Rectificado 1a Cal 1.44M2</t>
  </si>
  <si>
    <t>ZDM2720B1P2</t>
  </si>
  <si>
    <t>ZDM2 18X50 Sunwood Miel1a. Cal 1.08M2</t>
  </si>
  <si>
    <t>GDI12424RC1P7</t>
  </si>
  <si>
    <t>GDI1 60 cm x 60 cm Rect District Gray 1a Cal 1.8M2</t>
  </si>
  <si>
    <t>GFT11836RC1P7LOT</t>
  </si>
  <si>
    <t>GFT1 45 cm x 90 cm Rect. Finisterra White 1a. Cal 1.6M2</t>
  </si>
  <si>
    <t>ZMK132641PD</t>
  </si>
  <si>
    <t>ZMK1 80x160 cm Rect.Makia White 1a. Cal. 2.56M2</t>
  </si>
  <si>
    <t>GSZ11836RB1P7</t>
  </si>
  <si>
    <t>GSZ1 45x90 Spazio Crema Rectificado 1a. Cal 1.2M2</t>
  </si>
  <si>
    <t>GGS124481PD</t>
  </si>
  <si>
    <t>GGS1 60 cm X 120 cm Rect. Galastone Turquoise1a. Cal 1.44M2</t>
  </si>
  <si>
    <t>ZT0315151P7</t>
  </si>
  <si>
    <t>ZT03 37x37 cm Teul Beige 1a. Cal 2.11M2</t>
  </si>
  <si>
    <t>GNT118181P7</t>
  </si>
  <si>
    <t>GNT1 45x45 North Stone Brown 1a. Cal 1.63M2</t>
  </si>
  <si>
    <t>EM03836B1P7</t>
  </si>
  <si>
    <t>EM03 20x90 Emblem Grey 1a. Cal 1.45M2</t>
  </si>
  <si>
    <t>GC501320L1P2</t>
  </si>
  <si>
    <t>GC50 34 cm x 50 cm ClassicoCobalto 1a. Cal 1.2M2</t>
  </si>
  <si>
    <t>ZPV52448PR1P7</t>
  </si>
  <si>
    <t>ZPV5 59x118cm Rect. Pietra Di Vals Light Gray 1a. Cal 1.37M2</t>
  </si>
  <si>
    <t>ZKA332641PU</t>
  </si>
  <si>
    <t>ZKA3 80x160 Katania Dark Gray 1a. Cal. 1.28M2</t>
  </si>
  <si>
    <t>ZBA3720B1P2</t>
  </si>
  <si>
    <t>ZBA3 18 cm x 50 cm Baeza Tabaco 1a. Cal 1.08M2</t>
  </si>
  <si>
    <t>GZF215151P7</t>
  </si>
  <si>
    <t>GZF2 37x37cm Lake Gris 1a. Cal 2.11M2</t>
  </si>
  <si>
    <t>ZDM3720B1P2</t>
  </si>
  <si>
    <t>ZDM3 18X50 Black WalnutNatural 1a. Cal 1.08M2</t>
  </si>
  <si>
    <t>ZXN31060R1P7</t>
  </si>
  <si>
    <t>ZXN3 25 cm x 153 cm Rect. Xenia Natural 1a. Cal. 1.16M2</t>
  </si>
  <si>
    <t>GZF218181P7</t>
  </si>
  <si>
    <t>GZF21 45x45 Lake Gris 1a. Cal 1.63M2</t>
  </si>
  <si>
    <t>GPF12424RC1P7</t>
  </si>
  <si>
    <t>GPF1 60X60CM Rect. Pietra Francesa Light Grey 1a. Cal 1.8M2</t>
  </si>
  <si>
    <t>ZDM4720B1P2</t>
  </si>
  <si>
    <t>ZDM4 18X50 Black Walnut Moka 1a. Cal 1.08M2</t>
  </si>
  <si>
    <t>EM01720B1P2</t>
  </si>
  <si>
    <t>EM01 18X50 Emblem Beige 1a. Cal 1.08M2</t>
  </si>
  <si>
    <t>GHW1720B1P2</t>
  </si>
  <si>
    <t>GHW1 18x50 Homewood Gray 1a. Cal 1.08M2</t>
  </si>
  <si>
    <t>ZPV62448PR1P7</t>
  </si>
  <si>
    <t>ZPV6 59x118cm Rect. Pietra Di Vals Dark Gray 1a. Cal 1.37M2</t>
  </si>
  <si>
    <t>ZCG532641PD</t>
  </si>
  <si>
    <t>ZCG5 80x160 cm. Rect. Carrara Gold White 1a. Cal. 2.56M2</t>
  </si>
  <si>
    <t>GZF118181P7</t>
  </si>
  <si>
    <t>GZF11 45X45 Lake Beige 1a. Cal 1.63M2</t>
  </si>
  <si>
    <t>ZCV615151P7</t>
  </si>
  <si>
    <t>ZCV6 37x37cm Canova Castano 1a. Cal 2.11M2</t>
  </si>
  <si>
    <t>ZUR51218C1P7</t>
  </si>
  <si>
    <t>ZUR5 30cm x 45cm Urbania Black &amp; White 1a. Cal 1.36M2</t>
  </si>
  <si>
    <t>GON12448R1P7</t>
  </si>
  <si>
    <t>GON1 60x120 Origin Black Rectificado 1a. Cal 1.44M2</t>
  </si>
  <si>
    <t>PL021218C1P7</t>
  </si>
  <si>
    <t>PL02 30x45 Polaris Blanco 1a. Cal 1.50M2</t>
  </si>
  <si>
    <t>ZT0715151P7</t>
  </si>
  <si>
    <t>ZT07 37x37 cm Tonala Cafe 1a. Cal 2.11M2</t>
  </si>
  <si>
    <t>EM02720B1P2</t>
  </si>
  <si>
    <t>EM02 18x50 Emblem Brown1a. Cal 1.08M2</t>
  </si>
  <si>
    <t>ZZT22424RC1P7</t>
  </si>
  <si>
    <t>ZZT2 60 cm x 60 cm Rect. Zermatt White 1a. Cal 1.8M2</t>
  </si>
  <si>
    <t>ZUR21218C1P7</t>
  </si>
  <si>
    <t>ZUR2 30cm x 45cm Urbania Blue 1a. Cal 1.36M2</t>
  </si>
  <si>
    <t>ZSC31836RC1P7</t>
  </si>
  <si>
    <t>ZSC3 45x90 cm. Rect. Stone Cave Black 1a. Cal 1.6M2</t>
  </si>
  <si>
    <t>ZGX518181P7</t>
  </si>
  <si>
    <t>ZGX5 45x45cm Geox Cafe 1a. Cal 1.63M2</t>
  </si>
  <si>
    <t>ZA612448R1P7</t>
  </si>
  <si>
    <t>ZA61 60x120 Aurora Bianco Rect. 1a Cal 1.44M2</t>
  </si>
  <si>
    <t>GZF115151P7</t>
  </si>
  <si>
    <t>GZF1 37x37cm Lake Beige 1a. Cal 2.11M2</t>
  </si>
  <si>
    <t>GME118181P7</t>
  </si>
  <si>
    <t>GME1 45x45 Merida Multicolor 1a. Cal 1.63M2</t>
  </si>
  <si>
    <t>ZKL815151P7</t>
  </si>
  <si>
    <t>ZKL8 37 cm x 37 cm Kalei Dot Black 1a. Cal 2.11M2</t>
  </si>
  <si>
    <t>EM027201P2</t>
  </si>
  <si>
    <t>EM02 18 cm x 50 cm Emblem Brown 1a.Cal 0.99M2</t>
  </si>
  <si>
    <t>ZAV42424RC1P7</t>
  </si>
  <si>
    <t>ZAV4 60cm x 60cm Rect. Avenza Blanco Brillante 1a Cal. 1.8M2</t>
  </si>
  <si>
    <t>ZH182424B1PJ</t>
  </si>
  <si>
    <t>ZH18 60 cm x 60 cm Bellagio Crema Super Gloss 1a Cal. 1.44m2</t>
  </si>
  <si>
    <t>ZAL9720HD1P2</t>
  </si>
  <si>
    <t>ZAL9 18X50 Alondra Café 1a.Cal 0.99M2</t>
  </si>
  <si>
    <t>ZS372424C1P7</t>
  </si>
  <si>
    <t>ZS37 60.5 cm x 60.5 cm Stratto Gray 1a. Cal. 1.83 M2</t>
  </si>
  <si>
    <t>ZM7532641PU</t>
  </si>
  <si>
    <t>ZM75 80cm x 160cm Manaos Deep Gray 1a. Cal 1.28M2</t>
  </si>
  <si>
    <t>EM03836D1P7</t>
  </si>
  <si>
    <t>EM03 20 cm x 90 cm Emblem Grey 1a. Cal 1.81m2</t>
  </si>
  <si>
    <t xml:space="preserve">Vitromex </t>
  </si>
  <si>
    <t>PISO MONET ABEDUL 18X60.6 CM 1.64 M2/CAJA</t>
  </si>
  <si>
    <t>GSS22424RC1P7</t>
  </si>
  <si>
    <t>GSS2 60 cm x 60 cm Rect. Sandstone Gray 1a Cal 1.8m2</t>
  </si>
  <si>
    <t>ZA8132641PU</t>
  </si>
  <si>
    <t>ZA81 80x160 Andria Marfil 1a. Cal. 1.28M2</t>
  </si>
  <si>
    <t>PAQBAÑODICABCO</t>
  </si>
  <si>
    <t>TAZA REDONDA ECONOMICA DICA 4203</t>
  </si>
  <si>
    <t>TANQUE ECOLOGICO DICA</t>
  </si>
  <si>
    <t>LAVABO COSMOS 4" BLANCO</t>
  </si>
  <si>
    <t>PEDESTAL COSMOS BLANCO</t>
  </si>
  <si>
    <t>PAQCORZOBCO1</t>
  </si>
  <si>
    <t>TAZA MONET AL STAR BLANCO</t>
  </si>
  <si>
    <t>LAVABO TRIA 4 STAR BLANCO</t>
  </si>
  <si>
    <t>PEDESTAL AUSTRIA BLANCO</t>
  </si>
  <si>
    <t>PAQARONABCO</t>
  </si>
  <si>
    <t>TQ1101A021</t>
  </si>
  <si>
    <t>Tanque Arona Ecologico 4.8 L (Blanco)</t>
  </si>
  <si>
    <t>TZ2102A021</t>
  </si>
  <si>
    <t>Taza ARONA Alargada (Blanco)</t>
  </si>
  <si>
    <t>PAQEMEZBCO</t>
  </si>
  <si>
    <t>TAZA NAVIA STAR BLANCO GRADO B URREA</t>
  </si>
  <si>
    <t>LAVABO 2501 4" BLANCO</t>
  </si>
  <si>
    <t>MEZCLADORA ECOLÓGICA PARA LAVABO</t>
  </si>
  <si>
    <t>PAQCREELBCO1</t>
  </si>
  <si>
    <t>TQ1032A021</t>
  </si>
  <si>
    <t>TANQUE CREEL</t>
  </si>
  <si>
    <t>PAQALHSO</t>
  </si>
  <si>
    <t>TANQUE ANDROMEDA GS 4.8 AL HUESO</t>
  </si>
  <si>
    <t>LAVABO TRIA 4 STAR HUESO URREA</t>
  </si>
  <si>
    <t>PAQALANDROBCO</t>
  </si>
  <si>
    <t>Pedestal Autria blanco</t>
  </si>
  <si>
    <t>PAQEBCO</t>
  </si>
  <si>
    <t>TANQUE FENIX RD BLANCO</t>
  </si>
  <si>
    <t>LAVABO STRELLA 4" BLANCO</t>
  </si>
  <si>
    <t>Tecnopiso</t>
  </si>
  <si>
    <t>Pisos Tecnopiso</t>
  </si>
  <si>
    <t>PT612CANNBL1A</t>
  </si>
  <si>
    <t>PISO CANNES BLACK BR 60X120CM 1.44M2</t>
  </si>
  <si>
    <t>CAJA</t>
  </si>
  <si>
    <t>PT612CANNWH1A</t>
  </si>
  <si>
    <t>PISO CANNES WHITE BR 60X120CM 1.44M2</t>
  </si>
  <si>
    <t>PT612CORAL1A</t>
  </si>
  <si>
    <t>PISO CORAL BR 60X120CM 1.44M2</t>
  </si>
  <si>
    <t>PT612EMPEBR1A</t>
  </si>
  <si>
    <t>PISO EMPERADOR BRONCE BR 60X120CM 1.44M2</t>
  </si>
  <si>
    <t>PT612EMPEPL1A</t>
  </si>
  <si>
    <t>PISO EMPERADOR PLATA BR 60X120CM 1.44M2</t>
  </si>
  <si>
    <t>PT612EMPETI1A</t>
  </si>
  <si>
    <t>PISO EMPERADOR TITANIO BR 60X120CM 1.44M2</t>
  </si>
  <si>
    <t>PT612GLACIA1A</t>
  </si>
  <si>
    <t>PISO GLACIAR MT 60x120CM 1.44M2</t>
  </si>
  <si>
    <t>PT612SANTOT1A</t>
  </si>
  <si>
    <t>PISO SANTO MT TOMAS 60X120CM 1.44M2</t>
  </si>
  <si>
    <t>PT612ARTIC1A</t>
  </si>
  <si>
    <t>PISO ARTIC BR 60X120CM 1.44M2</t>
  </si>
  <si>
    <t>PT33KOBUBE1B</t>
  </si>
  <si>
    <t>PISO KOBUK BEIGE 33X33 1.63 M2 ANTIDERRAPANTE</t>
  </si>
  <si>
    <t>PT33KOBUGR1B</t>
  </si>
  <si>
    <t>PISO KOBUK GRIS 33X33 1.63 M2 ANTIDERRAPANTE</t>
  </si>
  <si>
    <t>PT33KOBUCA1B</t>
  </si>
  <si>
    <t>PISO KOBUK CAFE 33X33 1.63 M2 ANTIDERRAPANTE</t>
  </si>
  <si>
    <t>PT36AREZBL1A</t>
  </si>
  <si>
    <t>PISO AREZZO BLANCO 30X60 1.62 M2</t>
  </si>
  <si>
    <t>PT36AREZGR1A</t>
  </si>
  <si>
    <t>PISO AREZZO GRIS 30X60 1.62M2</t>
  </si>
  <si>
    <t>PT36PARISGR1A</t>
  </si>
  <si>
    <t>FACHALETA RUSTICO PARIS BEIGE 30X60 CM 1.62 M2</t>
  </si>
  <si>
    <t>PT36PRISBE1C</t>
  </si>
  <si>
    <t>PISO PRISMA BEIGE 30X60CM 1.62M2/CAJA</t>
  </si>
  <si>
    <t>PRIGR60</t>
  </si>
  <si>
    <t>PISO CERAMICO PRISMA GRIS 60X60 1.44M</t>
  </si>
  <si>
    <t>PRIBLC60</t>
  </si>
  <si>
    <t>PISO CERAMICO PRISMA BEIGE 60X60 1.44 M</t>
  </si>
  <si>
    <t>PRINE60</t>
  </si>
  <si>
    <t>PISO CERAMICO PRISMA NEGRO 60X60 1.44M</t>
  </si>
  <si>
    <t>PT60QUARNE1A</t>
  </si>
  <si>
    <t>PISO CERAMICO QUARTZ NEGRO 60X60 CM. 1.44 M2 CAJA</t>
  </si>
  <si>
    <t>PT60ARCEAZ1A</t>
  </si>
  <si>
    <t>PISO CERAMICO ARCE AZUL 60X60 CM. 1.44 M2 CAJA</t>
  </si>
  <si>
    <t>PT60ARCECA1A</t>
  </si>
  <si>
    <t>PISO CERAMICO ARCE CAFE 60X60 1.44 M2</t>
  </si>
  <si>
    <t>PT36GREYTE1A</t>
  </si>
  <si>
    <t>PISO GREYTECH 30X60 CM 1.62M2/ CAJA</t>
  </si>
  <si>
    <t>PT36PRISNE1C</t>
  </si>
  <si>
    <t>PRISMA NEGRO 30X60CM 1.62M2</t>
  </si>
  <si>
    <t>PRIGR30X60</t>
  </si>
  <si>
    <t>PISO CERAMICO PRISMA GRIS 30X60 1.62M2</t>
  </si>
  <si>
    <t>PT36PARIGR1A</t>
  </si>
  <si>
    <t>FACHALETA PARIS GRIS 30X60CM 1.62M2 CAJA</t>
  </si>
  <si>
    <t>PT60PRISGR2B</t>
  </si>
  <si>
    <t>PISO PRISMA GRIS 60X60 1.44M2 C.C.</t>
  </si>
  <si>
    <t>PT60PRISRO2C</t>
  </si>
  <si>
    <t>PISO PRISMA ROSATTO 60X60 1.44M2 C.C.</t>
  </si>
  <si>
    <t>PT36AREZBL2A</t>
  </si>
  <si>
    <t>PISO AREZZO BLANCO 30X60 1.62 M2 CALIDAD COMERCIAL</t>
  </si>
  <si>
    <t>PT36AREZGR2A</t>
  </si>
  <si>
    <t>PISOS AREZZO GRIS 30X60 1.62M2 CALIDAD COMERCIAL</t>
  </si>
  <si>
    <t>PT36CONCRE2A</t>
  </si>
  <si>
    <t>PISO CERAMICO CONCRETE GRIS CALIDAD COMERCIAL 30X60 1.62 M2</t>
  </si>
  <si>
    <t>PT50LOREBL2A</t>
  </si>
  <si>
    <t>LORETO BLANCO 50X50 1.75 C. COMERCIAL</t>
  </si>
  <si>
    <t>PT50LOREGR2A</t>
  </si>
  <si>
    <t>PISO LORETO GRIS 1.75M2 CALIDAD COMERCIAL</t>
  </si>
  <si>
    <t>RT595HITABL2A</t>
  </si>
  <si>
    <t>PISOS HITA BLANCO 1.42M2 CALIDAD COMERCIAL</t>
  </si>
  <si>
    <t>PT60PRISRO1B</t>
  </si>
  <si>
    <t>PISO PRISMA ROSATTO 60X60 1.44M2/CAJA</t>
  </si>
  <si>
    <t>PN60QC1E</t>
  </si>
  <si>
    <t>PISO CERAMICO MOD QUARTZ CAFE 60X60 1.44 M2 CAJA</t>
  </si>
  <si>
    <t>Descontinuado Proveedor</t>
  </si>
  <si>
    <t>CAS10024507</t>
  </si>
  <si>
    <t>BURGOS 66 GREY 60X60 5 PZS 1.80M2</t>
  </si>
  <si>
    <t>CAS10024506</t>
  </si>
  <si>
    <t>BURGOS 66 IVORY 60X60 5 PZS 1.80M2</t>
  </si>
  <si>
    <t>CAS94019</t>
  </si>
  <si>
    <t>PISO YUNN 32 PERLA 30X120 1.76M2</t>
  </si>
  <si>
    <t>CAS19</t>
  </si>
  <si>
    <t>PISO PORCELANICO REC TOSCANA 80X80 1.92M2 CAJA</t>
  </si>
  <si>
    <t>MCBENNO</t>
  </si>
  <si>
    <t>MUEBLE CABINET BENNO</t>
  </si>
  <si>
    <t>Hasta agotar existencias, no valido sobrepedido</t>
  </si>
  <si>
    <t>MCARNO</t>
  </si>
  <si>
    <t>MUEBLE CABINET ARNO</t>
  </si>
  <si>
    <t xml:space="preserve">Solo para material en exhibicion </t>
  </si>
  <si>
    <t>QD001</t>
  </si>
  <si>
    <t>ESPEJO NARON 60 CM RED LED</t>
  </si>
  <si>
    <t>QD002</t>
  </si>
  <si>
    <t>ESPEJO TUY 60 CM RED NEGRO BT LED</t>
  </si>
  <si>
    <t>QD004</t>
  </si>
  <si>
    <t>ESPEJO FERROL 60X90 CM LED</t>
  </si>
  <si>
    <t>QD005</t>
  </si>
  <si>
    <t>ESPEJO LUGO 60 CM RED LED</t>
  </si>
  <si>
    <t>CAS94011</t>
  </si>
  <si>
    <t>PISO RECT NORUEGA 22 HAYA 20X120 1.83M2</t>
  </si>
  <si>
    <t>Calorex</t>
  </si>
  <si>
    <t>Calentadores</t>
  </si>
  <si>
    <t>Calentadores Calorex</t>
  </si>
  <si>
    <t>OPTIMUS DE PASO ODP-06 LP</t>
  </si>
  <si>
    <t>OPTIMUS ODP-09 GAS LP</t>
  </si>
  <si>
    <t>CINSA ELECTRICO CIE-10 220V 4.0KW</t>
  </si>
  <si>
    <t>CALENTADOR OPTIMUS INSTANTANEO 01-05 E LP</t>
  </si>
  <si>
    <t>CINSA INSTANTANEO CIN-13 B LP</t>
  </si>
  <si>
    <t>CAS100208</t>
  </si>
  <si>
    <t>PISO TOSCANA 120 PLUS BCO 60X120 1.44M2</t>
  </si>
  <si>
    <t xml:space="preserve">MCCUARZO </t>
  </si>
  <si>
    <t xml:space="preserve">MUEBLE CABINET CUARZO </t>
  </si>
  <si>
    <t xml:space="preserve">MCPIROXENO </t>
  </si>
  <si>
    <t xml:space="preserve">MUEBLE CABINET PIROXENO CON ESPEJO LED </t>
  </si>
  <si>
    <t xml:space="preserve">MCAMBAR </t>
  </si>
  <si>
    <t xml:space="preserve">MUEBLE CABINET AMBAR </t>
  </si>
  <si>
    <t xml:space="preserve">MCTESEO </t>
  </si>
  <si>
    <t>MUEBLE CABINET TESEO</t>
  </si>
  <si>
    <t>PISO AIZEN GRIS 50X100 CM 1.5 M2/CAJA RECT</t>
  </si>
  <si>
    <t>PISO LIVING BEIGE 50X100 CM 2.0 M2/CAJA RECT</t>
  </si>
  <si>
    <t>One Piece</t>
  </si>
  <si>
    <t>75.7566.23</t>
  </si>
  <si>
    <t>Sanitario One Piece OVALE E</t>
  </si>
  <si>
    <t>PISO TORONTO GREY  60X120 CAJA 1.44M2</t>
  </si>
  <si>
    <t>PISO PORCELANICO VITRIFICADO DIAMOND CARRARA 60X60 1.44 M2</t>
  </si>
  <si>
    <t>47x47</t>
  </si>
  <si>
    <t>FRESNO 26 CHERRY 22.5X60  14PZ   1.89M2</t>
  </si>
  <si>
    <t>22.5x60</t>
  </si>
  <si>
    <t>EVOKE 62 BLACK 60X120 2 PZ  1.42 M2</t>
  </si>
  <si>
    <t>PISO GEO 66 IVORY 60X60  1.80M2</t>
  </si>
  <si>
    <t>DOLOMITTI 66 BLACK 60X60  5PZ  1.80M2</t>
  </si>
  <si>
    <t>PISO AMAZONAS CHERRY 22.5X60 1.89M2</t>
  </si>
  <si>
    <t>PISO FRESNO 26 NUEZ 22.5X60  14PZ   1.89M2</t>
  </si>
  <si>
    <t>FRESNO 26 GRIS 22.5X60 14PZ  1.89M2</t>
  </si>
  <si>
    <t>PISO AMAZONAS HONEY 22.5X60 1.89M2</t>
  </si>
  <si>
    <t>30x120</t>
  </si>
  <si>
    <t xml:space="preserve"> PISO GINZA 62 PEARL  60X120 2 PZ  1.42 M2</t>
  </si>
  <si>
    <t>58x58</t>
  </si>
  <si>
    <t>74x74</t>
  </si>
  <si>
    <t>NEPTUNE STATUARIO PL 60X120 1.44 M2</t>
  </si>
  <si>
    <t>CARRARA WHITE 120X240 2.88M2</t>
  </si>
  <si>
    <t>120x240</t>
  </si>
  <si>
    <t>75x150</t>
  </si>
  <si>
    <t>COTTI GREY MATT 60 X 120 CM 5MM 2.88 M2</t>
  </si>
</sst>
</file>

<file path=xl/styles.xml><?xml version="1.0" encoding="utf-8"?>
<styleSheet xmlns="http://schemas.openxmlformats.org/spreadsheetml/2006/main">
  <numFmts count="9">
    <numFmt formatCode="[&gt;0]_(&quot;$&quot;* #,##0.00_);[&lt;0]_(&quot;$&quot;* \(#,##0.00\);_(&quot;$&quot;* &quot;-&quot;#??_)" numFmtId="164"/>
    <numFmt formatCode="#0.00%" numFmtId="165"/>
    <numFmt formatCode="#0" numFmtId="166"/>
    <numFmt formatCode="&quot;$&quot;#,##0.00" numFmtId="167"/>
    <numFmt formatCode="[&gt;0]_-&quot;$&quot;* #,##0.00_-;[&lt;0]\-&quot;$&quot;* #,##0.00_-;_-&quot;$&quot;* &quot;-&quot;#??_-" numFmtId="168"/>
    <numFmt formatCode="#0.0000%" numFmtId="169"/>
    <numFmt formatCode="@" numFmtId="170"/>
    <numFmt formatCode="[&gt;0]_(&quot;$&quot;* #,##0.00_);[&lt;0]_(&quot;$&quot;* (#,##0.00);_(&quot;$&quot;* &quot;-&quot;#??_);_(@_)" numFmtId="171"/>
    <numFmt formatCode="#" numFmtId="172"/>
  </numFmts>
  <fonts count="10">
    <font>
      <sz val="11"/>
      <color rgb="FF000000"/>
      <name val="Calibri"/>
    </font>
    <font>
      <sz val="11"/>
      <name val="Calibri"/>
    </font>
    <font>
      <b/>
      <sz val="11"/>
      <name val="Calibri"/>
    </font>
    <font>
      <sz val="10"/>
      <name val="Calibri"/>
    </font>
    <font>
      <sz val="11"/>
      <name val="Calibri"/>
    </font>
    <font>
      <sz val="11.0"/>
      <name val="Calibri"/>
    </font>
    <font>
      <sz val="11"/>
      <name val="Calibri"/>
    </font>
    <font>
      <sz val="11"/>
      <name val="Calibri"/>
    </font>
    <font>
      <sz val="11.0"/>
      <name val="Calibri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borderId="0" fillId="0" fontId="0" numFmtId="0" xfId="0">
      <alignment vertical="bottom"/>
    </xf>
  </cellStyleXfs>
  <cellXfs count="43">
    <xf borderId="0" fillId="0" fontId="0" numFmtId="0" xfId="0">
      <alignment vertical="bottom"/>
    </xf>
    <xf borderId="0" fillId="0" fontId="1" numFmtId="0" xfId="0">
      <alignment horizontal="center" vertical="center"/>
    </xf>
    <xf borderId="0" fillId="0" fontId="1" numFmtId="164" xfId="0">
      <alignment horizontal="center" vertical="center"/>
    </xf>
    <xf borderId="0" fillId="0" fontId="1" numFmtId="165" xfId="0">
      <alignment horizontal="center" vertical="center"/>
    </xf>
    <xf borderId="0" fillId="2" fontId="2" numFmtId="0" xfId="0">
      <alignment horizontal="center" vertical="center" wrapText="1"/>
    </xf>
    <xf borderId="0" fillId="3" fontId="2" numFmtId="164" xfId="0">
      <alignment horizontal="center" vertical="center" wrapText="1"/>
    </xf>
    <xf borderId="0" fillId="2" fontId="2" numFmtId="165" xfId="0">
      <alignment horizontal="center" vertical="center" wrapText="1"/>
    </xf>
    <xf borderId="0" fillId="2" fontId="2" numFmtId="164" xfId="0">
      <alignment horizontal="center" vertical="center" wrapText="1"/>
    </xf>
    <xf borderId="0" fillId="0" fontId="1" numFmtId="0" xfId="0">
      <alignment horizontal="center" vertical="center" wrapText="1"/>
    </xf>
    <xf borderId="0" fillId="0" fontId="3" numFmtId="166" xfId="0">
      <alignment horizontal="center" vertical="center"/>
    </xf>
    <xf borderId="0" fillId="0" fontId="1" numFmtId="166" xfId="0">
      <alignment horizontal="center" vertical="center"/>
    </xf>
    <xf borderId="0" fillId="0" fontId="1" numFmtId="0" xfId="0">
      <alignment horizontal="center" vertical="bottom"/>
    </xf>
    <xf borderId="0" fillId="0" fontId="1" numFmtId="164" xfId="0">
      <alignment horizontal="center" vertical="bottom"/>
    </xf>
    <xf borderId="0" fillId="0" fontId="1" numFmtId="0" xfId="0">
      <alignment horizontal="center" vertical="bottom" wrapText="1"/>
    </xf>
    <xf borderId="0" fillId="0" fontId="1" numFmtId="167" xfId="0">
      <alignment horizontal="center" vertical="bottom" wrapText="1"/>
    </xf>
    <xf borderId="0" fillId="0" fontId="1" numFmtId="168" xfId="0">
      <alignment horizontal="center" vertical="center"/>
    </xf>
    <xf borderId="0" fillId="0" fontId="1" numFmtId="169" xfId="0">
      <alignment horizontal="center" vertical="center"/>
    </xf>
    <xf borderId="0" fillId="0" fontId="4" numFmtId="0" xfId="0">
      <alignment horizontal="center" vertical="bottom"/>
    </xf>
    <xf borderId="0" fillId="3" fontId="2" numFmtId="168" xfId="0">
      <alignment horizontal="center" vertical="center" wrapText="1"/>
    </xf>
    <xf borderId="0" fillId="2" fontId="2" numFmtId="169" xfId="0">
      <alignment horizontal="center" vertical="center" wrapText="1"/>
    </xf>
    <xf borderId="0" fillId="2" fontId="2" numFmtId="168" xfId="0">
      <alignment horizontal="center" vertical="center" wrapText="1"/>
    </xf>
    <xf borderId="0" fillId="0" fontId="1" numFmtId="0" xfId="0">
      <alignment vertical="bottom" wrapText="1"/>
    </xf>
    <xf borderId="0" fillId="0" fontId="4" numFmtId="166" xfId="0">
      <alignment horizontal="center" vertical="bottom"/>
    </xf>
    <xf borderId="0" fillId="0" fontId="4" numFmtId="168" xfId="0">
      <alignment horizontal="center" vertical="bottom"/>
    </xf>
    <xf borderId="0" fillId="2" fontId="2" numFmtId="0" xfId="0">
      <alignment horizontal="center" vertical="center"/>
    </xf>
    <xf borderId="0" fillId="3" fontId="2" numFmtId="0" xfId="0">
      <alignment horizontal="center" vertical="center" wrapText="1"/>
    </xf>
    <xf borderId="0" fillId="0" fontId="1" numFmtId="170" xfId="0">
      <alignment horizontal="center" vertical="center"/>
    </xf>
    <xf borderId="0" fillId="0" fontId="1" numFmtId="165" xfId="0">
      <alignment horizontal="center" vertical="bottom"/>
    </xf>
    <xf borderId="0" fillId="2" fontId="2" numFmtId="0" xfId="0">
      <alignment horizontal="center" vertical="bottom"/>
    </xf>
    <xf borderId="0" fillId="2" fontId="2" numFmtId="165" xfId="0">
      <alignment horizontal="center" vertical="bottom"/>
    </xf>
    <xf borderId="0" fillId="0" fontId="1" numFmtId="168" xfId="0">
      <alignment horizontal="center" vertical="bottom"/>
    </xf>
    <xf borderId="0" fillId="4" fontId="1" numFmtId="168" xfId="0">
      <alignment horizontal="center" vertical="bottom"/>
    </xf>
    <xf borderId="0" fillId="2" fontId="2" numFmtId="168" xfId="0">
      <alignment horizontal="center" vertical="bottom"/>
    </xf>
    <xf borderId="0" fillId="0" fontId="5" numFmtId="0" xfId="0">
      <alignment horizontal="center" vertical="bottom"/>
    </xf>
    <xf borderId="0" fillId="0" fontId="6" numFmtId="0" xfId="0">
      <alignment horizontal="center" vertical="bottom"/>
    </xf>
    <xf borderId="0" fillId="0" fontId="7" numFmtId="0" xfId="0">
      <alignment horizontal="center" vertical="bottom"/>
    </xf>
    <xf borderId="0" fillId="0" fontId="8" numFmtId="0" xfId="0">
      <alignment horizontal="center" vertical="bottom"/>
    </xf>
    <xf borderId="0" fillId="0" fontId="1" numFmtId="171" xfId="0">
      <alignment horizontal="center" vertical="center"/>
    </xf>
    <xf borderId="0" fillId="0" fontId="1" numFmtId="164" xfId="0">
      <alignment horizontal="center" vertical="bottom" wrapText="1"/>
    </xf>
    <xf borderId="0" fillId="0" fontId="4" numFmtId="172" xfId="0">
      <alignment horizontal="center" vertical="bottom"/>
    </xf>
    <xf borderId="0" fillId="0" fontId="9" numFmtId="166" xfId="0">
      <alignment horizontal="center" vertical="center"/>
    </xf>
    <xf borderId="0" fillId="0" fontId="4" numFmtId="0" xfId="0">
      <alignment horizontal="center" vertical="center"/>
    </xf>
    <xf borderId="0" fillId="0" fontId="4" numFmtId="168" xfId="0">
      <alignment horizontal="center" vertical="center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sharedStrings.xml" Id="rId8" Type="http://schemas.openxmlformats.org/officeDocument/2006/relationships/sharedStrings"/><Relationship Target="styles.xml" Id="rId9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70AD47"/>
  </sheetPr>
  <dimension ref="A1:S249"/>
  <sheetViews>
    <sheetView workbookViewId="0"/>
  </sheetViews>
  <sheetFormatPr defaultRowHeight="14.0" customHeight="1"/>
  <cols>
    <col min="1" max="1" style="1" width="14.44"/>
    <col min="2" max="2" style="1" width="11.52"/>
    <col min="3" max="3" style="1" width="12.71"/>
    <col min="4" max="4" style="1" width="16.56"/>
    <col min="5" max="5" style="1" width="20.27"/>
    <col min="6" max="6" style="1" width="62.4"/>
    <col min="7" max="7" style="1" width="9.0"/>
    <col min="8" max="9" style="1" width="8.87"/>
    <col min="10" max="10" style="1" width="13.64"/>
    <col min="11" max="11" style="1" width="13.24"/>
    <col min="12" max="12" style="1" width="8.87"/>
    <col min="13" max="13" style="1" width="13.64"/>
    <col min="14" max="14" style="1" width="18.41"/>
    <col min="15" max="15" style="2" width="13.38"/>
    <col min="16" max="16" style="2" width="8.87"/>
    <col min="17" max="17" style="3" width="8.87"/>
    <col min="18" max="18" style="2" width="12.71"/>
    <col min="19" max="19" style="2" width="18.28"/>
    <col min="20" max="2048" style="1" width="8.87"/>
  </cols>
  <sheetData>
    <row r="1" ht="86.0" customFormat="1" s="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5" t="s">
        <v>15</v>
      </c>
      <c r="Q1" s="6" t="s">
        <v>16</v>
      </c>
      <c r="R1" s="5" t="s">
        <v>17</v>
      </c>
      <c r="S1" s="7" t="s">
        <v>18</v>
      </c>
    </row>
    <row r="2" ht="17.0">
      <c r="A2" s="1" t="s">
        <v>19</v>
      </c>
      <c r="B2" s="1" t="s">
        <v>20</v>
      </c>
      <c r="C2" s="1" t="s">
        <v>21</v>
      </c>
      <c r="D2" s="1" t="s">
        <v>22</v>
      </c>
      <c r="E2" s="9">
        <v>5.20256440010061E14</v>
      </c>
      <c r="F2" s="1" t="s">
        <v>23</v>
      </c>
      <c r="G2" s="1" t="s">
        <v>24</v>
      </c>
      <c r="H2" s="1">
        <v>2.11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2">
        <v>309.0</v>
      </c>
      <c r="P2" s="2">
        <f t="shared" ref="P2:P249" si="0">O2/H2</f>
        <v>146.445497630331</v>
      </c>
      <c r="Q2" s="3">
        <f t="shared" ref="Q2:Q249" si="1">(R2/P2-1)*-1</f>
        <v>0.187411003236242</v>
      </c>
      <c r="R2" s="2">
        <v>119.0</v>
      </c>
      <c r="S2" s="2">
        <v>0.0</v>
      </c>
    </row>
    <row r="3" ht="17.0">
      <c r="A3" s="1" t="s">
        <v>19</v>
      </c>
      <c r="B3" s="1" t="s">
        <v>20</v>
      </c>
      <c r="C3" s="1" t="s">
        <v>21</v>
      </c>
      <c r="D3" s="1" t="s">
        <v>22</v>
      </c>
      <c r="E3" s="10">
        <v>5.20256440011061E14</v>
      </c>
      <c r="F3" s="1" t="s">
        <v>31</v>
      </c>
      <c r="G3" s="1" t="s">
        <v>24</v>
      </c>
      <c r="H3" s="1">
        <v>2.11</v>
      </c>
      <c r="I3" s="1" t="s">
        <v>25</v>
      </c>
      <c r="J3" s="1" t="s">
        <v>26</v>
      </c>
      <c r="K3" s="1" t="s">
        <v>27</v>
      </c>
      <c r="L3" s="1" t="s">
        <v>32</v>
      </c>
      <c r="M3" s="1" t="s">
        <v>29</v>
      </c>
      <c r="N3" s="1" t="s">
        <v>30</v>
      </c>
      <c r="O3" s="2">
        <v>309.0</v>
      </c>
      <c r="P3" s="2">
        <f t="shared" si="0"/>
        <v>146.445497630331</v>
      </c>
      <c r="Q3" s="3">
        <f t="shared" si="1"/>
        <v>0.187411003236242</v>
      </c>
      <c r="R3" s="2">
        <v>119.0</v>
      </c>
      <c r="S3" s="2">
        <v>0.0</v>
      </c>
    </row>
    <row r="4" ht="17.0">
      <c r="A4" s="1" t="s">
        <v>19</v>
      </c>
      <c r="B4" s="1" t="s">
        <v>20</v>
      </c>
      <c r="C4" s="1" t="s">
        <v>21</v>
      </c>
      <c r="D4" s="1" t="s">
        <v>22</v>
      </c>
      <c r="E4" s="10">
        <v>5.20256440026061E14</v>
      </c>
      <c r="F4" s="1" t="s">
        <v>33</v>
      </c>
      <c r="G4" s="1" t="s">
        <v>24</v>
      </c>
      <c r="H4" s="1">
        <v>2.11</v>
      </c>
      <c r="I4" s="1" t="s">
        <v>25</v>
      </c>
      <c r="J4" s="1" t="s">
        <v>26</v>
      </c>
      <c r="K4" s="1" t="s">
        <v>27</v>
      </c>
      <c r="L4" s="1" t="s">
        <v>28</v>
      </c>
      <c r="M4" s="1" t="s">
        <v>29</v>
      </c>
      <c r="N4" s="1" t="s">
        <v>30</v>
      </c>
      <c r="O4" s="2">
        <v>309.0</v>
      </c>
      <c r="P4" s="2">
        <f t="shared" si="0"/>
        <v>146.445497630331</v>
      </c>
      <c r="Q4" s="3">
        <f t="shared" si="1"/>
        <v>0.187411003236242</v>
      </c>
      <c r="R4" s="2">
        <v>119.0</v>
      </c>
      <c r="S4" s="2">
        <v>0.0</v>
      </c>
    </row>
    <row r="5" ht="17.0">
      <c r="A5" s="1" t="s">
        <v>19</v>
      </c>
      <c r="B5" s="1" t="s">
        <v>20</v>
      </c>
      <c r="C5" s="1" t="s">
        <v>21</v>
      </c>
      <c r="D5" s="1" t="s">
        <v>22</v>
      </c>
      <c r="E5" s="10" t="s">
        <v>34</v>
      </c>
      <c r="F5" s="1" t="s">
        <v>35</v>
      </c>
      <c r="G5" s="1" t="s">
        <v>24</v>
      </c>
      <c r="H5" s="1">
        <v>1.82</v>
      </c>
      <c r="I5" s="1" t="s">
        <v>36</v>
      </c>
      <c r="J5" s="1" t="s">
        <v>26</v>
      </c>
      <c r="K5" s="1" t="s">
        <v>27</v>
      </c>
      <c r="L5" s="1" t="s">
        <v>28</v>
      </c>
      <c r="M5" s="1" t="s">
        <v>29</v>
      </c>
      <c r="N5" s="1" t="s">
        <v>30</v>
      </c>
      <c r="O5" s="2">
        <v>289.0</v>
      </c>
      <c r="P5" s="2">
        <f t="shared" si="0"/>
        <v>158.791208791209</v>
      </c>
      <c r="Q5" s="3">
        <f t="shared" si="1"/>
        <v>0.187612456747406</v>
      </c>
      <c r="R5" s="2">
        <v>129.0</v>
      </c>
      <c r="S5" s="2">
        <v>0.0</v>
      </c>
    </row>
    <row r="6" ht="17.0">
      <c r="A6" s="1" t="s">
        <v>19</v>
      </c>
      <c r="B6" s="1" t="s">
        <v>20</v>
      </c>
      <c r="C6" s="1" t="s">
        <v>21</v>
      </c>
      <c r="D6" s="1" t="s">
        <v>22</v>
      </c>
      <c r="E6" s="10">
        <v>5.20256427011131E14</v>
      </c>
      <c r="F6" s="1" t="s">
        <v>37</v>
      </c>
      <c r="G6" s="1" t="s">
        <v>24</v>
      </c>
      <c r="H6" s="1">
        <v>1.82</v>
      </c>
      <c r="I6" s="1" t="s">
        <v>36</v>
      </c>
      <c r="J6" s="1" t="s">
        <v>26</v>
      </c>
      <c r="K6" s="1" t="s">
        <v>27</v>
      </c>
      <c r="L6" s="1" t="s">
        <v>32</v>
      </c>
      <c r="M6" s="1" t="s">
        <v>29</v>
      </c>
      <c r="N6" s="1" t="s">
        <v>30</v>
      </c>
      <c r="O6" s="2">
        <v>289.0</v>
      </c>
      <c r="P6" s="2">
        <f t="shared" si="0"/>
        <v>158.791208791209</v>
      </c>
      <c r="Q6" s="3">
        <f t="shared" si="1"/>
        <v>0.187612456747406</v>
      </c>
      <c r="R6" s="2">
        <v>129.0</v>
      </c>
      <c r="S6" s="2">
        <v>0.0</v>
      </c>
    </row>
    <row r="7" ht="17.0">
      <c r="A7" s="1" t="s">
        <v>19</v>
      </c>
      <c r="B7" s="1" t="s">
        <v>20</v>
      </c>
      <c r="C7" s="1" t="s">
        <v>21</v>
      </c>
      <c r="D7" s="1" t="s">
        <v>22</v>
      </c>
      <c r="E7" s="10" t="s">
        <v>38</v>
      </c>
      <c r="F7" s="1" t="s">
        <v>39</v>
      </c>
      <c r="G7" s="1" t="s">
        <v>24</v>
      </c>
      <c r="H7" s="1">
        <v>1.82</v>
      </c>
      <c r="I7" s="1" t="s">
        <v>36</v>
      </c>
      <c r="J7" s="1" t="s">
        <v>26</v>
      </c>
      <c r="K7" s="1" t="s">
        <v>27</v>
      </c>
      <c r="L7" s="1" t="s">
        <v>28</v>
      </c>
      <c r="M7" s="1" t="s">
        <v>29</v>
      </c>
      <c r="N7" s="1" t="s">
        <v>30</v>
      </c>
      <c r="O7" s="2">
        <v>289.0</v>
      </c>
      <c r="P7" s="2">
        <f t="shared" si="0"/>
        <v>158.791208791209</v>
      </c>
      <c r="Q7" s="3">
        <f t="shared" si="1"/>
        <v>0.187612456747406</v>
      </c>
      <c r="R7" s="2">
        <v>129.0</v>
      </c>
      <c r="S7" s="2">
        <v>0.0</v>
      </c>
    </row>
    <row r="8" ht="17.0">
      <c r="A8" s="1" t="s">
        <v>19</v>
      </c>
      <c r="B8" s="1" t="s">
        <v>20</v>
      </c>
      <c r="C8" s="1" t="s">
        <v>21</v>
      </c>
      <c r="D8" s="1" t="s">
        <v>22</v>
      </c>
      <c r="E8" s="10">
        <v>5.21606425007901E14</v>
      </c>
      <c r="F8" s="1" t="s">
        <v>40</v>
      </c>
      <c r="G8" s="1" t="s">
        <v>24</v>
      </c>
      <c r="H8" s="1">
        <v>1.78</v>
      </c>
      <c r="I8" s="1" t="s">
        <v>41</v>
      </c>
      <c r="J8" s="1" t="s">
        <v>26</v>
      </c>
      <c r="K8" s="1" t="s">
        <v>42</v>
      </c>
      <c r="L8" s="1" t="s">
        <v>32</v>
      </c>
      <c r="M8" s="1" t="s">
        <v>43</v>
      </c>
      <c r="N8" s="1" t="s">
        <v>30</v>
      </c>
      <c r="O8" s="2">
        <v>299.0</v>
      </c>
      <c r="P8" s="2">
        <f t="shared" si="0"/>
        <v>167.97752808989</v>
      </c>
      <c r="Q8" s="3">
        <f t="shared" si="1"/>
        <v>0.172508361204025</v>
      </c>
      <c r="R8" s="2">
        <v>139.0</v>
      </c>
      <c r="S8" s="2">
        <v>0.0</v>
      </c>
    </row>
    <row r="9" ht="17.0">
      <c r="A9" s="1" t="s">
        <v>19</v>
      </c>
      <c r="B9" s="1" t="s">
        <v>20</v>
      </c>
      <c r="C9" s="1" t="s">
        <v>21</v>
      </c>
      <c r="D9" s="1" t="s">
        <v>22</v>
      </c>
      <c r="E9" s="10">
        <v>5.22910425028901E14</v>
      </c>
      <c r="F9" s="1" t="s">
        <v>44</v>
      </c>
      <c r="G9" s="1" t="s">
        <v>24</v>
      </c>
      <c r="H9" s="1">
        <v>1.78</v>
      </c>
      <c r="I9" s="1" t="s">
        <v>41</v>
      </c>
      <c r="J9" s="1" t="s">
        <v>26</v>
      </c>
      <c r="K9" s="1" t="s">
        <v>27</v>
      </c>
      <c r="L9" s="1" t="s">
        <v>28</v>
      </c>
      <c r="M9" s="1" t="s">
        <v>43</v>
      </c>
      <c r="N9" s="1" t="s">
        <v>30</v>
      </c>
      <c r="O9" s="2">
        <v>299.0</v>
      </c>
      <c r="P9" s="2">
        <f t="shared" si="0"/>
        <v>167.97752808989</v>
      </c>
      <c r="Q9" s="3">
        <f t="shared" si="1"/>
        <v>0.172508361204025</v>
      </c>
      <c r="R9" s="2">
        <v>139.0</v>
      </c>
      <c r="S9" s="2">
        <v>0.0</v>
      </c>
    </row>
    <row r="10" ht="17.0">
      <c r="A10" s="1" t="s">
        <v>45</v>
      </c>
      <c r="B10" s="1" t="s">
        <v>20</v>
      </c>
      <c r="C10" s="1" t="s">
        <v>21</v>
      </c>
      <c r="D10" s="1" t="s">
        <v>46</v>
      </c>
      <c r="E10" s="1" t="s">
        <v>47</v>
      </c>
      <c r="F10" s="1" t="s">
        <v>48</v>
      </c>
      <c r="G10" s="1" t="s">
        <v>24</v>
      </c>
      <c r="H10" s="1">
        <v>2.11</v>
      </c>
      <c r="I10" s="1" t="s">
        <v>25</v>
      </c>
      <c r="J10" s="1" t="s">
        <v>26</v>
      </c>
      <c r="K10" s="1" t="s">
        <v>27</v>
      </c>
      <c r="L10" s="1" t="s">
        <v>28</v>
      </c>
      <c r="M10" s="1" t="s">
        <v>43</v>
      </c>
      <c r="N10" s="1" t="s">
        <v>30</v>
      </c>
      <c r="O10" s="2">
        <v>389.0</v>
      </c>
      <c r="P10" s="2">
        <f t="shared" si="0"/>
        <v>184.36018957346</v>
      </c>
      <c r="Q10" s="3">
        <f t="shared" si="1"/>
        <v>0.213496143958868</v>
      </c>
      <c r="R10" s="2">
        <v>145.0</v>
      </c>
      <c r="S10" s="2">
        <f t="shared" ref="S10:S11" si="2">R10-10</f>
        <v>135.0</v>
      </c>
    </row>
    <row r="11" ht="17.0">
      <c r="A11" s="1" t="s">
        <v>45</v>
      </c>
      <c r="B11" s="1" t="s">
        <v>20</v>
      </c>
      <c r="C11" s="1" t="s">
        <v>21</v>
      </c>
      <c r="D11" s="1" t="s">
        <v>46</v>
      </c>
      <c r="E11" s="1" t="s">
        <v>49</v>
      </c>
      <c r="F11" s="1" t="s">
        <v>50</v>
      </c>
      <c r="G11" s="1" t="s">
        <v>24</v>
      </c>
      <c r="H11" s="1">
        <v>2.11</v>
      </c>
      <c r="I11" s="1" t="s">
        <v>25</v>
      </c>
      <c r="J11" s="1" t="s">
        <v>26</v>
      </c>
      <c r="K11" s="1" t="s">
        <v>27</v>
      </c>
      <c r="L11" s="1" t="s">
        <v>32</v>
      </c>
      <c r="M11" s="1" t="s">
        <v>43</v>
      </c>
      <c r="N11" s="1" t="s">
        <v>30</v>
      </c>
      <c r="O11" s="2">
        <v>389.0</v>
      </c>
      <c r="P11" s="2">
        <f t="shared" si="0"/>
        <v>184.36018957346</v>
      </c>
      <c r="Q11" s="3">
        <f t="shared" si="1"/>
        <v>0.213496143958868</v>
      </c>
      <c r="R11" s="2">
        <v>145.0</v>
      </c>
      <c r="S11" s="2">
        <f t="shared" si="2"/>
        <v>135.0</v>
      </c>
    </row>
    <row r="12" ht="17.0">
      <c r="A12" s="1" t="s">
        <v>19</v>
      </c>
      <c r="B12" s="1" t="s">
        <v>20</v>
      </c>
      <c r="C12" s="1" t="s">
        <v>21</v>
      </c>
      <c r="D12" s="1" t="s">
        <v>22</v>
      </c>
      <c r="E12" s="10" t="s">
        <v>51</v>
      </c>
      <c r="F12" s="1" t="s">
        <v>52</v>
      </c>
      <c r="G12" s="1" t="s">
        <v>24</v>
      </c>
      <c r="H12" s="1">
        <v>1.82</v>
      </c>
      <c r="I12" s="1" t="s">
        <v>36</v>
      </c>
      <c r="J12" s="1" t="s">
        <v>26</v>
      </c>
      <c r="K12" s="1" t="s">
        <v>27</v>
      </c>
      <c r="L12" s="1" t="s">
        <v>28</v>
      </c>
      <c r="M12" s="1" t="s">
        <v>29</v>
      </c>
      <c r="N12" s="1" t="s">
        <v>30</v>
      </c>
      <c r="O12" s="2">
        <v>329.0</v>
      </c>
      <c r="P12" s="2">
        <f t="shared" si="0"/>
        <v>180.76923076923</v>
      </c>
      <c r="Q12" s="3">
        <f t="shared" si="1"/>
        <v>0.17574468085106</v>
      </c>
      <c r="R12" s="2">
        <v>149.0</v>
      </c>
      <c r="S12" s="2">
        <v>0.0</v>
      </c>
    </row>
    <row r="13" ht="17.0">
      <c r="A13" s="1" t="s">
        <v>19</v>
      </c>
      <c r="B13" s="1" t="s">
        <v>20</v>
      </c>
      <c r="C13" s="1" t="s">
        <v>21</v>
      </c>
      <c r="D13" s="1" t="s">
        <v>22</v>
      </c>
      <c r="E13" s="10" t="s">
        <v>53</v>
      </c>
      <c r="F13" s="1" t="s">
        <v>54</v>
      </c>
      <c r="G13" s="1" t="s">
        <v>24</v>
      </c>
      <c r="H13" s="1">
        <v>1.78</v>
      </c>
      <c r="I13" s="1" t="s">
        <v>41</v>
      </c>
      <c r="J13" s="1" t="s">
        <v>26</v>
      </c>
      <c r="K13" s="1" t="s">
        <v>27</v>
      </c>
      <c r="L13" s="1" t="s">
        <v>28</v>
      </c>
      <c r="M13" s="1" t="s">
        <v>29</v>
      </c>
      <c r="N13" s="1" t="s">
        <v>30</v>
      </c>
      <c r="O13" s="2">
        <v>329.0</v>
      </c>
      <c r="P13" s="2">
        <f t="shared" si="0"/>
        <v>184.831460674157</v>
      </c>
      <c r="Q13" s="3">
        <f t="shared" si="1"/>
        <v>0.19386018237082</v>
      </c>
      <c r="R13" s="2">
        <v>149.0</v>
      </c>
      <c r="S13" s="2">
        <v>0.0</v>
      </c>
    </row>
    <row r="14" ht="17.0">
      <c r="A14" s="1" t="s">
        <v>19</v>
      </c>
      <c r="B14" s="1" t="s">
        <v>20</v>
      </c>
      <c r="C14" s="1" t="s">
        <v>21</v>
      </c>
      <c r="D14" s="1" t="s">
        <v>22</v>
      </c>
      <c r="E14" s="10">
        <v>5.20963425007261E14</v>
      </c>
      <c r="F14" s="1" t="s">
        <v>55</v>
      </c>
      <c r="G14" s="1" t="s">
        <v>24</v>
      </c>
      <c r="H14" s="1">
        <v>1.78</v>
      </c>
      <c r="I14" s="1" t="s">
        <v>41</v>
      </c>
      <c r="J14" s="1" t="s">
        <v>26</v>
      </c>
      <c r="K14" s="1" t="s">
        <v>27</v>
      </c>
      <c r="L14" s="1" t="s">
        <v>56</v>
      </c>
      <c r="M14" s="1" t="s">
        <v>29</v>
      </c>
      <c r="N14" s="1" t="s">
        <v>30</v>
      </c>
      <c r="O14" s="2">
        <v>329.0</v>
      </c>
      <c r="P14" s="2">
        <f t="shared" si="0"/>
        <v>184.831460674157</v>
      </c>
      <c r="Q14" s="3">
        <f t="shared" si="1"/>
        <v>0.19386018237082</v>
      </c>
      <c r="R14" s="2">
        <v>149.0</v>
      </c>
      <c r="S14" s="2">
        <v>0.0</v>
      </c>
    </row>
    <row r="15" ht="17.0">
      <c r="A15" s="1" t="s">
        <v>19</v>
      </c>
      <c r="B15" s="1" t="s">
        <v>20</v>
      </c>
      <c r="C15" s="1" t="s">
        <v>21</v>
      </c>
      <c r="D15" s="1" t="s">
        <v>22</v>
      </c>
      <c r="E15" s="10">
        <v>5.22593425284261E14</v>
      </c>
      <c r="F15" s="1" t="s">
        <v>57</v>
      </c>
      <c r="G15" s="1" t="s">
        <v>24</v>
      </c>
      <c r="H15" s="1">
        <v>1.78</v>
      </c>
      <c r="I15" s="1" t="s">
        <v>41</v>
      </c>
      <c r="J15" s="1" t="s">
        <v>26</v>
      </c>
      <c r="K15" s="1" t="s">
        <v>58</v>
      </c>
      <c r="L15" s="1" t="s">
        <v>59</v>
      </c>
      <c r="M15" s="1" t="s">
        <v>43</v>
      </c>
      <c r="N15" s="1" t="s">
        <v>30</v>
      </c>
      <c r="O15" s="2">
        <v>329.0</v>
      </c>
      <c r="P15" s="2">
        <f t="shared" si="0"/>
        <v>184.831460674157</v>
      </c>
      <c r="Q15" s="3">
        <f t="shared" si="1"/>
        <v>0.19386018237082</v>
      </c>
      <c r="R15" s="2">
        <v>149.0</v>
      </c>
      <c r="S15" s="2">
        <v>0.0</v>
      </c>
    </row>
    <row r="16" ht="17.0">
      <c r="A16" s="1" t="s">
        <v>19</v>
      </c>
      <c r="B16" s="1" t="s">
        <v>20</v>
      </c>
      <c r="C16" s="1" t="s">
        <v>21</v>
      </c>
      <c r="D16" s="1" t="s">
        <v>22</v>
      </c>
      <c r="E16" s="10">
        <v>5.22595425007261E14</v>
      </c>
      <c r="F16" s="1" t="s">
        <v>60</v>
      </c>
      <c r="G16" s="1" t="s">
        <v>24</v>
      </c>
      <c r="H16" s="1">
        <v>1.78</v>
      </c>
      <c r="I16" s="1" t="s">
        <v>41</v>
      </c>
      <c r="J16" s="1" t="s">
        <v>26</v>
      </c>
      <c r="K16" s="1" t="s">
        <v>61</v>
      </c>
      <c r="L16" s="1" t="s">
        <v>56</v>
      </c>
      <c r="M16" s="1" t="s">
        <v>43</v>
      </c>
      <c r="N16" s="1" t="s">
        <v>30</v>
      </c>
      <c r="O16" s="2">
        <v>329.0</v>
      </c>
      <c r="P16" s="2">
        <f t="shared" si="0"/>
        <v>184.831460674157</v>
      </c>
      <c r="Q16" s="3">
        <f t="shared" si="1"/>
        <v>0.19386018237082</v>
      </c>
      <c r="R16" s="2">
        <v>149.0</v>
      </c>
      <c r="S16" s="2">
        <v>0.0</v>
      </c>
    </row>
    <row r="17" ht="17.0">
      <c r="A17" s="1" t="s">
        <v>19</v>
      </c>
      <c r="B17" s="1" t="s">
        <v>20</v>
      </c>
      <c r="C17" s="1" t="s">
        <v>21</v>
      </c>
      <c r="D17" s="1" t="s">
        <v>22</v>
      </c>
      <c r="E17" s="10">
        <v>5.22924440011061E14</v>
      </c>
      <c r="F17" s="1" t="s">
        <v>62</v>
      </c>
      <c r="G17" s="1" t="s">
        <v>24</v>
      </c>
      <c r="H17" s="1">
        <v>2.11</v>
      </c>
      <c r="I17" s="1" t="s">
        <v>25</v>
      </c>
      <c r="J17" s="1" t="s">
        <v>26</v>
      </c>
      <c r="K17" s="1" t="s">
        <v>27</v>
      </c>
      <c r="L17" s="1" t="s">
        <v>63</v>
      </c>
      <c r="M17" s="1" t="s">
        <v>43</v>
      </c>
      <c r="N17" s="1" t="s">
        <v>30</v>
      </c>
      <c r="O17" s="2">
        <v>429.0</v>
      </c>
      <c r="P17" s="2">
        <f t="shared" si="0"/>
        <v>203.317535545023</v>
      </c>
      <c r="Q17" s="3">
        <f t="shared" si="1"/>
        <v>0.267156177156175</v>
      </c>
      <c r="R17" s="2">
        <v>149.0</v>
      </c>
      <c r="S17" s="2">
        <v>0.0</v>
      </c>
    </row>
    <row r="18" ht="17.0">
      <c r="A18" s="1" t="s">
        <v>19</v>
      </c>
      <c r="B18" s="1" t="s">
        <v>20</v>
      </c>
      <c r="C18" s="1" t="s">
        <v>21</v>
      </c>
      <c r="D18" s="1" t="s">
        <v>22</v>
      </c>
      <c r="E18" s="10">
        <v>5.20906025010031E14</v>
      </c>
      <c r="F18" s="1" t="s">
        <v>64</v>
      </c>
      <c r="G18" s="1" t="s">
        <v>24</v>
      </c>
      <c r="H18" s="1">
        <v>1.62</v>
      </c>
      <c r="I18" s="1" t="s">
        <v>65</v>
      </c>
      <c r="J18" s="1" t="s">
        <v>26</v>
      </c>
      <c r="K18" s="1" t="s">
        <v>27</v>
      </c>
      <c r="L18" s="1" t="s">
        <v>28</v>
      </c>
      <c r="M18" s="1" t="s">
        <v>29</v>
      </c>
      <c r="N18" s="1" t="s">
        <v>30</v>
      </c>
      <c r="O18" s="2">
        <v>299.0</v>
      </c>
      <c r="P18" s="2">
        <f t="shared" si="0"/>
        <v>184.56790123457</v>
      </c>
      <c r="Q18" s="3">
        <f t="shared" si="1"/>
        <v>0.192709030100344</v>
      </c>
      <c r="R18" s="2">
        <v>149.0</v>
      </c>
      <c r="S18" s="2">
        <v>0.0</v>
      </c>
    </row>
    <row r="19" ht="17.0">
      <c r="A19" s="1" t="s">
        <v>19</v>
      </c>
      <c r="B19" s="1" t="s">
        <v>20</v>
      </c>
      <c r="C19" s="1" t="s">
        <v>21</v>
      </c>
      <c r="D19" s="1" t="s">
        <v>22</v>
      </c>
      <c r="E19" s="10">
        <v>5.20906025026131E14</v>
      </c>
      <c r="F19" s="1" t="s">
        <v>66</v>
      </c>
      <c r="G19" s="1" t="s">
        <v>24</v>
      </c>
      <c r="H19" s="1">
        <v>1.62</v>
      </c>
      <c r="I19" s="1" t="s">
        <v>65</v>
      </c>
      <c r="J19" s="1" t="s">
        <v>26</v>
      </c>
      <c r="K19" s="1" t="s">
        <v>27</v>
      </c>
      <c r="L19" s="1" t="s">
        <v>32</v>
      </c>
      <c r="M19" s="1" t="s">
        <v>29</v>
      </c>
      <c r="N19" s="1" t="s">
        <v>30</v>
      </c>
      <c r="O19" s="2">
        <v>299.0</v>
      </c>
      <c r="P19" s="2">
        <f t="shared" si="0"/>
        <v>184.56790123457</v>
      </c>
      <c r="Q19" s="3">
        <f t="shared" si="1"/>
        <v>0.192709030100344</v>
      </c>
      <c r="R19" s="2">
        <v>149.0</v>
      </c>
      <c r="S19" s="2">
        <v>0.0</v>
      </c>
    </row>
    <row r="20" ht="17.0">
      <c r="A20" s="1" t="s">
        <v>19</v>
      </c>
      <c r="B20" s="1" t="s">
        <v>20</v>
      </c>
      <c r="C20" s="1" t="s">
        <v>21</v>
      </c>
      <c r="D20" s="1" t="s">
        <v>22</v>
      </c>
      <c r="E20" s="10">
        <v>5.20906025026031E14</v>
      </c>
      <c r="F20" s="1" t="s">
        <v>67</v>
      </c>
      <c r="G20" s="1" t="s">
        <v>24</v>
      </c>
      <c r="H20" s="1">
        <v>1.62</v>
      </c>
      <c r="I20" s="1" t="s">
        <v>65</v>
      </c>
      <c r="J20" s="1" t="s">
        <v>26</v>
      </c>
      <c r="K20" s="1" t="s">
        <v>27</v>
      </c>
      <c r="L20" s="1" t="s">
        <v>28</v>
      </c>
      <c r="M20" s="1" t="s">
        <v>29</v>
      </c>
      <c r="N20" s="1" t="s">
        <v>30</v>
      </c>
      <c r="O20" s="2">
        <v>299.0</v>
      </c>
      <c r="P20" s="2">
        <f t="shared" si="0"/>
        <v>184.56790123457</v>
      </c>
      <c r="Q20" s="3">
        <f t="shared" si="1"/>
        <v>0.192709030100344</v>
      </c>
      <c r="R20" s="2">
        <v>149.0</v>
      </c>
      <c r="S20" s="2">
        <v>0.0</v>
      </c>
    </row>
    <row r="21" ht="17.0">
      <c r="A21" s="1" t="s">
        <v>19</v>
      </c>
      <c r="B21" s="1" t="s">
        <v>20</v>
      </c>
      <c r="C21" s="1" t="s">
        <v>21</v>
      </c>
      <c r="D21" s="1" t="s">
        <v>22</v>
      </c>
      <c r="E21" s="10">
        <v>5.22676325343061E14</v>
      </c>
      <c r="F21" s="1" t="s">
        <v>68</v>
      </c>
      <c r="G21" s="1" t="s">
        <v>24</v>
      </c>
      <c r="H21" s="1">
        <v>1.64</v>
      </c>
      <c r="I21" s="1" t="s">
        <v>69</v>
      </c>
      <c r="J21" s="1" t="s">
        <v>26</v>
      </c>
      <c r="K21" s="1" t="s">
        <v>58</v>
      </c>
      <c r="L21" s="1" t="s">
        <v>28</v>
      </c>
      <c r="M21" s="1" t="s">
        <v>29</v>
      </c>
      <c r="N21" s="1" t="s">
        <v>30</v>
      </c>
      <c r="O21" s="2">
        <v>379.0</v>
      </c>
      <c r="P21" s="2">
        <f t="shared" si="0"/>
        <v>231.09756097561</v>
      </c>
      <c r="Q21" s="3">
        <f t="shared" si="1"/>
        <v>0.268707124010554</v>
      </c>
      <c r="R21" s="2">
        <v>169.0</v>
      </c>
      <c r="S21" s="2">
        <v>149.0</v>
      </c>
    </row>
    <row r="22" ht="17.0">
      <c r="A22" s="1" t="s">
        <v>19</v>
      </c>
      <c r="B22" s="1" t="s">
        <v>20</v>
      </c>
      <c r="C22" s="1" t="s">
        <v>21</v>
      </c>
      <c r="D22" s="1" t="s">
        <v>22</v>
      </c>
      <c r="E22" s="10">
        <v>5.22676325074061E14</v>
      </c>
      <c r="F22" s="1" t="s">
        <v>70</v>
      </c>
      <c r="G22" s="1" t="s">
        <v>24</v>
      </c>
      <c r="H22" s="1">
        <v>1.64</v>
      </c>
      <c r="I22" s="1" t="s">
        <v>69</v>
      </c>
      <c r="J22" s="1" t="s">
        <v>26</v>
      </c>
      <c r="K22" s="1" t="s">
        <v>58</v>
      </c>
      <c r="L22" s="1" t="s">
        <v>28</v>
      </c>
      <c r="M22" s="1" t="s">
        <v>29</v>
      </c>
      <c r="N22" s="1" t="s">
        <v>30</v>
      </c>
      <c r="O22" s="2">
        <v>379.0</v>
      </c>
      <c r="P22" s="2">
        <f t="shared" si="0"/>
        <v>231.09756097561</v>
      </c>
      <c r="Q22" s="3">
        <f t="shared" si="1"/>
        <v>0.268707124010554</v>
      </c>
      <c r="R22" s="2">
        <v>169.0</v>
      </c>
      <c r="S22" s="2">
        <v>0.0</v>
      </c>
    </row>
    <row r="23" ht="17.0">
      <c r="A23" s="1" t="s">
        <v>19</v>
      </c>
      <c r="B23" s="1" t="s">
        <v>20</v>
      </c>
      <c r="C23" s="1" t="s">
        <v>21</v>
      </c>
      <c r="D23" s="1" t="s">
        <v>22</v>
      </c>
      <c r="E23" s="10">
        <v>5.22676325863061E14</v>
      </c>
      <c r="F23" s="1" t="s">
        <v>71</v>
      </c>
      <c r="G23" s="1" t="s">
        <v>24</v>
      </c>
      <c r="H23" s="1">
        <v>1.64</v>
      </c>
      <c r="I23" s="1" t="s">
        <v>69</v>
      </c>
      <c r="J23" s="1" t="s">
        <v>26</v>
      </c>
      <c r="K23" s="1" t="s">
        <v>58</v>
      </c>
      <c r="L23" s="1" t="s">
        <v>32</v>
      </c>
      <c r="M23" s="1" t="s">
        <v>29</v>
      </c>
      <c r="N23" s="1" t="s">
        <v>30</v>
      </c>
      <c r="O23" s="2">
        <v>379.0</v>
      </c>
      <c r="P23" s="2">
        <f t="shared" si="0"/>
        <v>231.09756097561</v>
      </c>
      <c r="Q23" s="3">
        <f t="shared" si="1"/>
        <v>0.268707124010554</v>
      </c>
      <c r="R23" s="2">
        <v>169.0</v>
      </c>
      <c r="S23" s="2">
        <v>0.0</v>
      </c>
    </row>
    <row r="24" ht="17.0">
      <c r="A24" s="1" t="s">
        <v>19</v>
      </c>
      <c r="B24" s="1" t="s">
        <v>20</v>
      </c>
      <c r="C24" s="1" t="s">
        <v>21</v>
      </c>
      <c r="D24" s="1" t="s">
        <v>22</v>
      </c>
      <c r="E24" s="10">
        <v>5.22676325111061E14</v>
      </c>
      <c r="F24" s="1" t="s">
        <v>72</v>
      </c>
      <c r="G24" s="1" t="s">
        <v>24</v>
      </c>
      <c r="H24" s="1">
        <v>1.64</v>
      </c>
      <c r="I24" s="1" t="s">
        <v>69</v>
      </c>
      <c r="J24" s="1" t="s">
        <v>26</v>
      </c>
      <c r="K24" s="1" t="s">
        <v>58</v>
      </c>
      <c r="L24" s="1" t="s">
        <v>28</v>
      </c>
      <c r="M24" s="1" t="s">
        <v>29</v>
      </c>
      <c r="N24" s="1" t="s">
        <v>30</v>
      </c>
      <c r="O24" s="2">
        <v>379.0</v>
      </c>
      <c r="P24" s="2">
        <f t="shared" si="0"/>
        <v>231.09756097561</v>
      </c>
      <c r="Q24" s="3">
        <f t="shared" si="1"/>
        <v>0.268707124010554</v>
      </c>
      <c r="R24" s="2">
        <v>169.0</v>
      </c>
      <c r="S24" s="2">
        <v>0.0</v>
      </c>
    </row>
    <row r="25" ht="17.0">
      <c r="A25" s="1" t="s">
        <v>19</v>
      </c>
      <c r="B25" s="1" t="s">
        <v>20</v>
      </c>
      <c r="C25" s="1" t="s">
        <v>21</v>
      </c>
      <c r="D25" s="1" t="s">
        <v>22</v>
      </c>
      <c r="E25" s="10">
        <v>5.22838427124131E14</v>
      </c>
      <c r="F25" s="1" t="s">
        <v>73</v>
      </c>
      <c r="G25" s="1" t="s">
        <v>24</v>
      </c>
      <c r="H25" s="1">
        <v>1.82</v>
      </c>
      <c r="I25" s="1" t="s">
        <v>36</v>
      </c>
      <c r="J25" s="1" t="s">
        <v>26</v>
      </c>
      <c r="K25" s="1" t="s">
        <v>27</v>
      </c>
      <c r="L25" s="1" t="s">
        <v>74</v>
      </c>
      <c r="M25" s="1" t="s">
        <v>43</v>
      </c>
      <c r="N25" s="1" t="s">
        <v>30</v>
      </c>
      <c r="O25" s="2">
        <v>379.0</v>
      </c>
      <c r="P25" s="2">
        <f t="shared" si="0"/>
        <v>208.241758241758</v>
      </c>
      <c r="Q25" s="3">
        <f t="shared" si="1"/>
        <v>0.188443271767808</v>
      </c>
      <c r="R25" s="2">
        <v>169.0</v>
      </c>
      <c r="S25" s="2">
        <v>0.0</v>
      </c>
    </row>
    <row r="26" ht="17.0">
      <c r="A26" s="1" t="s">
        <v>19</v>
      </c>
      <c r="B26" s="1" t="s">
        <v>20</v>
      </c>
      <c r="C26" s="1" t="s">
        <v>21</v>
      </c>
      <c r="D26" s="1" t="s">
        <v>22</v>
      </c>
      <c r="E26" s="10">
        <v>5.22838427125131E14</v>
      </c>
      <c r="F26" s="1" t="s">
        <v>75</v>
      </c>
      <c r="G26" s="1" t="s">
        <v>24</v>
      </c>
      <c r="H26" s="1">
        <v>1.82</v>
      </c>
      <c r="I26" s="1" t="s">
        <v>36</v>
      </c>
      <c r="J26" s="1" t="s">
        <v>26</v>
      </c>
      <c r="K26" s="1" t="s">
        <v>27</v>
      </c>
      <c r="L26" s="1" t="s">
        <v>28</v>
      </c>
      <c r="M26" s="1" t="s">
        <v>43</v>
      </c>
      <c r="N26" s="1" t="s">
        <v>30</v>
      </c>
      <c r="O26" s="2">
        <v>379.0</v>
      </c>
      <c r="P26" s="2">
        <f t="shared" si="0"/>
        <v>208.241758241758</v>
      </c>
      <c r="Q26" s="3">
        <f t="shared" si="1"/>
        <v>0.188443271767808</v>
      </c>
      <c r="R26" s="2">
        <v>169.0</v>
      </c>
      <c r="S26" s="2">
        <v>0.0</v>
      </c>
    </row>
    <row r="27" ht="17.0">
      <c r="A27" s="1" t="s">
        <v>19</v>
      </c>
      <c r="B27" s="1" t="s">
        <v>20</v>
      </c>
      <c r="C27" s="1" t="s">
        <v>21</v>
      </c>
      <c r="D27" s="1" t="s">
        <v>22</v>
      </c>
      <c r="E27" s="10">
        <v>5.22838427011131E14</v>
      </c>
      <c r="F27" s="1" t="s">
        <v>76</v>
      </c>
      <c r="G27" s="1" t="s">
        <v>24</v>
      </c>
      <c r="H27" s="1">
        <v>1.82</v>
      </c>
      <c r="I27" s="1" t="s">
        <v>36</v>
      </c>
      <c r="J27" s="1" t="s">
        <v>26</v>
      </c>
      <c r="K27" s="1" t="s">
        <v>27</v>
      </c>
      <c r="L27" s="1" t="s">
        <v>32</v>
      </c>
      <c r="M27" s="1" t="s">
        <v>43</v>
      </c>
      <c r="N27" s="1" t="s">
        <v>30</v>
      </c>
      <c r="O27" s="2">
        <v>379.0</v>
      </c>
      <c r="P27" s="2">
        <f t="shared" si="0"/>
        <v>208.241758241758</v>
      </c>
      <c r="Q27" s="3">
        <f t="shared" si="1"/>
        <v>0.188443271767808</v>
      </c>
      <c r="R27" s="2">
        <v>169.0</v>
      </c>
      <c r="S27" s="2">
        <v>0.0</v>
      </c>
    </row>
    <row r="28" ht="17.0">
      <c r="A28" s="1" t="s">
        <v>19</v>
      </c>
      <c r="B28" s="1" t="s">
        <v>20</v>
      </c>
      <c r="C28" s="1" t="s">
        <v>21</v>
      </c>
      <c r="D28" s="1" t="s">
        <v>22</v>
      </c>
      <c r="E28" s="10">
        <v>5.22838427098131E14</v>
      </c>
      <c r="F28" s="1" t="s">
        <v>77</v>
      </c>
      <c r="G28" s="1" t="s">
        <v>24</v>
      </c>
      <c r="H28" s="1">
        <v>1.82</v>
      </c>
      <c r="I28" s="1" t="s">
        <v>36</v>
      </c>
      <c r="J28" s="1" t="s">
        <v>26</v>
      </c>
      <c r="K28" s="1" t="s">
        <v>27</v>
      </c>
      <c r="L28" s="1" t="s">
        <v>78</v>
      </c>
      <c r="M28" s="1" t="s">
        <v>43</v>
      </c>
      <c r="N28" s="1" t="s">
        <v>30</v>
      </c>
      <c r="O28" s="2">
        <v>379.0</v>
      </c>
      <c r="P28" s="2">
        <f t="shared" si="0"/>
        <v>208.241758241758</v>
      </c>
      <c r="Q28" s="3">
        <f t="shared" si="1"/>
        <v>0.188443271767808</v>
      </c>
      <c r="R28" s="2">
        <v>169.0</v>
      </c>
      <c r="S28" s="2">
        <v>0.0</v>
      </c>
    </row>
    <row r="29" ht="17.0">
      <c r="A29" s="1" t="s">
        <v>19</v>
      </c>
      <c r="B29" s="1" t="s">
        <v>20</v>
      </c>
      <c r="C29" s="1" t="s">
        <v>21</v>
      </c>
      <c r="D29" s="1" t="s">
        <v>22</v>
      </c>
      <c r="E29" s="10">
        <v>5.22979425007901E14</v>
      </c>
      <c r="F29" s="1" t="s">
        <v>79</v>
      </c>
      <c r="G29" s="1" t="s">
        <v>24</v>
      </c>
      <c r="H29" s="1">
        <v>1.78</v>
      </c>
      <c r="I29" s="1" t="s">
        <v>41</v>
      </c>
      <c r="J29" s="1" t="s">
        <v>26</v>
      </c>
      <c r="K29" s="1" t="s">
        <v>27</v>
      </c>
      <c r="L29" s="1" t="s">
        <v>56</v>
      </c>
      <c r="M29" s="1" t="s">
        <v>43</v>
      </c>
      <c r="N29" s="1" t="s">
        <v>30</v>
      </c>
      <c r="O29" s="2">
        <v>369.0</v>
      </c>
      <c r="P29" s="2">
        <f t="shared" si="0"/>
        <v>207.303370786517</v>
      </c>
      <c r="Q29" s="3">
        <f t="shared" si="1"/>
        <v>0.184769647696476</v>
      </c>
      <c r="R29" s="2">
        <v>169.0</v>
      </c>
      <c r="S29" s="2">
        <v>0.0</v>
      </c>
    </row>
    <row r="30" ht="17.0">
      <c r="A30" s="1" t="s">
        <v>19</v>
      </c>
      <c r="B30" s="1" t="s">
        <v>20</v>
      </c>
      <c r="C30" s="1" t="s">
        <v>21</v>
      </c>
      <c r="D30" s="1" t="s">
        <v>22</v>
      </c>
      <c r="E30" s="10">
        <v>5.22676325847061E14</v>
      </c>
      <c r="F30" s="1" t="s">
        <v>80</v>
      </c>
      <c r="G30" s="1" t="s">
        <v>24</v>
      </c>
      <c r="H30" s="1">
        <v>1.64</v>
      </c>
      <c r="I30" s="1" t="s">
        <v>69</v>
      </c>
      <c r="J30" s="1" t="s">
        <v>26</v>
      </c>
      <c r="K30" s="1" t="s">
        <v>58</v>
      </c>
      <c r="L30" s="1" t="s">
        <v>59</v>
      </c>
      <c r="M30" s="1" t="s">
        <v>29</v>
      </c>
      <c r="N30" s="1" t="s">
        <v>30</v>
      </c>
      <c r="O30" s="2">
        <v>379.0</v>
      </c>
      <c r="P30" s="2">
        <f t="shared" si="0"/>
        <v>231.09756097561</v>
      </c>
      <c r="Q30" s="3">
        <f t="shared" si="1"/>
        <v>0.268707124010554</v>
      </c>
      <c r="R30" s="2">
        <v>169.0</v>
      </c>
      <c r="S30" s="2">
        <v>159.0</v>
      </c>
    </row>
    <row r="31" ht="17.0">
      <c r="A31" s="1" t="s">
        <v>45</v>
      </c>
      <c r="B31" s="1" t="s">
        <v>20</v>
      </c>
      <c r="C31" s="1" t="s">
        <v>21</v>
      </c>
      <c r="D31" s="1" t="s">
        <v>46</v>
      </c>
      <c r="E31" s="1" t="s">
        <v>81</v>
      </c>
      <c r="F31" s="1" t="s">
        <v>82</v>
      </c>
      <c r="G31" s="1" t="s">
        <v>24</v>
      </c>
      <c r="H31" s="1">
        <v>1.825</v>
      </c>
      <c r="I31" s="1" t="s">
        <v>83</v>
      </c>
      <c r="J31" s="1" t="s">
        <v>26</v>
      </c>
      <c r="K31" s="1" t="s">
        <v>42</v>
      </c>
      <c r="L31" s="1" t="s">
        <v>28</v>
      </c>
      <c r="M31" s="1" t="s">
        <v>29</v>
      </c>
      <c r="N31" s="1" t="s">
        <v>30</v>
      </c>
      <c r="O31" s="2">
        <v>544.0</v>
      </c>
      <c r="P31" s="2">
        <f t="shared" si="0"/>
        <v>298.082191780821</v>
      </c>
      <c r="Q31" s="3">
        <f t="shared" si="1"/>
        <v>0.433042279411763</v>
      </c>
      <c r="R31" s="2">
        <v>169.0</v>
      </c>
    </row>
    <row r="32" ht="17.0">
      <c r="A32" s="1" t="s">
        <v>19</v>
      </c>
      <c r="B32" s="1" t="s">
        <v>20</v>
      </c>
      <c r="C32" s="1" t="s">
        <v>21</v>
      </c>
      <c r="D32" s="1" t="s">
        <v>22</v>
      </c>
      <c r="E32" s="10">
        <v>5.22531090011021E14</v>
      </c>
      <c r="F32" s="1" t="s">
        <v>84</v>
      </c>
      <c r="G32" s="1" t="s">
        <v>24</v>
      </c>
      <c r="H32" s="1">
        <v>1.62</v>
      </c>
      <c r="I32" s="1" t="s">
        <v>85</v>
      </c>
      <c r="J32" s="1" t="s">
        <v>26</v>
      </c>
      <c r="K32" s="1" t="s">
        <v>27</v>
      </c>
      <c r="L32" s="1" t="s">
        <v>32</v>
      </c>
      <c r="M32" s="1" t="s">
        <v>29</v>
      </c>
      <c r="N32" s="1" t="s">
        <v>30</v>
      </c>
      <c r="O32" s="2">
        <v>359.0</v>
      </c>
      <c r="P32" s="2">
        <f t="shared" si="0"/>
        <v>221.604938271604</v>
      </c>
      <c r="Q32" s="3">
        <f t="shared" si="1"/>
        <v>0.192256267409468</v>
      </c>
      <c r="R32" s="2">
        <v>179.0</v>
      </c>
      <c r="S32" s="2">
        <v>0.0</v>
      </c>
    </row>
    <row r="33" ht="17.0">
      <c r="A33" s="1" t="s">
        <v>19</v>
      </c>
      <c r="B33" s="1" t="s">
        <v>20</v>
      </c>
      <c r="C33" s="1" t="s">
        <v>21</v>
      </c>
      <c r="D33" s="1" t="s">
        <v>22</v>
      </c>
      <c r="E33" s="10">
        <v>5.22531090003021E14</v>
      </c>
      <c r="F33" s="1" t="s">
        <v>86</v>
      </c>
      <c r="G33" s="1" t="s">
        <v>24</v>
      </c>
      <c r="H33" s="1">
        <v>1.62</v>
      </c>
      <c r="I33" s="1" t="s">
        <v>85</v>
      </c>
      <c r="J33" s="1" t="s">
        <v>26</v>
      </c>
      <c r="K33" s="1" t="s">
        <v>27</v>
      </c>
      <c r="L33" s="1" t="s">
        <v>59</v>
      </c>
      <c r="M33" s="1" t="s">
        <v>29</v>
      </c>
      <c r="N33" s="1" t="s">
        <v>30</v>
      </c>
      <c r="O33" s="2">
        <v>359.0</v>
      </c>
      <c r="P33" s="2">
        <f t="shared" si="0"/>
        <v>221.604938271604</v>
      </c>
      <c r="Q33" s="3">
        <f t="shared" si="1"/>
        <v>0.192256267409468</v>
      </c>
      <c r="R33" s="2">
        <v>179.0</v>
      </c>
      <c r="S33" s="2">
        <v>0.0</v>
      </c>
    </row>
    <row r="34" ht="17.0">
      <c r="A34" s="1" t="s">
        <v>19</v>
      </c>
      <c r="B34" s="1" t="s">
        <v>20</v>
      </c>
      <c r="C34" s="1" t="s">
        <v>21</v>
      </c>
      <c r="D34" s="1" t="s">
        <v>22</v>
      </c>
      <c r="E34" s="10">
        <v>5.22546090028021E14</v>
      </c>
      <c r="F34" s="1" t="s">
        <v>87</v>
      </c>
      <c r="G34" s="1" t="s">
        <v>24</v>
      </c>
      <c r="H34" s="1">
        <v>1.62</v>
      </c>
      <c r="I34" s="1" t="s">
        <v>85</v>
      </c>
      <c r="J34" s="1" t="s">
        <v>26</v>
      </c>
      <c r="K34" s="1" t="s">
        <v>42</v>
      </c>
      <c r="L34" s="1" t="s">
        <v>28</v>
      </c>
      <c r="M34" s="1" t="s">
        <v>29</v>
      </c>
      <c r="N34" s="1" t="s">
        <v>30</v>
      </c>
      <c r="O34" s="2">
        <v>359.0</v>
      </c>
      <c r="P34" s="2">
        <f t="shared" si="0"/>
        <v>221.604938271604</v>
      </c>
      <c r="Q34" s="3">
        <f t="shared" si="1"/>
        <v>0.192256267409468</v>
      </c>
      <c r="R34" s="2">
        <v>179.0</v>
      </c>
      <c r="S34" s="2">
        <v>0.0</v>
      </c>
    </row>
    <row r="35" ht="17.0">
      <c r="A35" s="1" t="s">
        <v>19</v>
      </c>
      <c r="B35" s="1" t="s">
        <v>20</v>
      </c>
      <c r="C35" s="1" t="s">
        <v>21</v>
      </c>
      <c r="D35" s="1" t="s">
        <v>22</v>
      </c>
      <c r="E35" s="10">
        <v>5.22546090567021E14</v>
      </c>
      <c r="F35" s="1" t="s">
        <v>88</v>
      </c>
      <c r="G35" s="1" t="s">
        <v>24</v>
      </c>
      <c r="H35" s="1">
        <v>1.62</v>
      </c>
      <c r="I35" s="1" t="s">
        <v>85</v>
      </c>
      <c r="J35" s="1" t="s">
        <v>26</v>
      </c>
      <c r="K35" s="1" t="s">
        <v>42</v>
      </c>
      <c r="L35" s="1" t="s">
        <v>32</v>
      </c>
      <c r="M35" s="1" t="s">
        <v>29</v>
      </c>
      <c r="N35" s="1" t="s">
        <v>30</v>
      </c>
      <c r="O35" s="2">
        <v>359.0</v>
      </c>
      <c r="P35" s="2">
        <f t="shared" si="0"/>
        <v>221.604938271604</v>
      </c>
      <c r="Q35" s="3">
        <f t="shared" si="1"/>
        <v>0.192256267409468</v>
      </c>
      <c r="R35" s="2">
        <v>179.0</v>
      </c>
      <c r="S35" s="2">
        <v>0.0</v>
      </c>
    </row>
    <row r="36" ht="17.0">
      <c r="A36" s="1" t="s">
        <v>19</v>
      </c>
      <c r="B36" s="1" t="s">
        <v>20</v>
      </c>
      <c r="C36" s="1" t="s">
        <v>21</v>
      </c>
      <c r="D36" s="1" t="s">
        <v>22</v>
      </c>
      <c r="E36" s="10">
        <v>5.21282090056021E14</v>
      </c>
      <c r="F36" s="1" t="s">
        <v>89</v>
      </c>
      <c r="G36" s="1" t="s">
        <v>24</v>
      </c>
      <c r="H36" s="1">
        <v>1.62</v>
      </c>
      <c r="I36" s="1" t="s">
        <v>85</v>
      </c>
      <c r="J36" s="1" t="s">
        <v>26</v>
      </c>
      <c r="K36" s="1" t="s">
        <v>27</v>
      </c>
      <c r="L36" s="1" t="s">
        <v>28</v>
      </c>
      <c r="M36" s="1" t="s">
        <v>29</v>
      </c>
      <c r="N36" s="1" t="s">
        <v>30</v>
      </c>
      <c r="O36" s="2">
        <v>359.0</v>
      </c>
      <c r="P36" s="2">
        <f t="shared" si="0"/>
        <v>221.604938271604</v>
      </c>
      <c r="Q36" s="3">
        <f t="shared" si="1"/>
        <v>0.192256267409468</v>
      </c>
      <c r="R36" s="2">
        <v>179.0</v>
      </c>
      <c r="S36" s="2">
        <v>0.0</v>
      </c>
    </row>
    <row r="37" ht="17.0">
      <c r="A37" s="1" t="s">
        <v>45</v>
      </c>
      <c r="B37" s="1" t="s">
        <v>20</v>
      </c>
      <c r="C37" s="1" t="s">
        <v>21</v>
      </c>
      <c r="D37" s="1" t="s">
        <v>46</v>
      </c>
      <c r="E37" s="1" t="s">
        <v>90</v>
      </c>
      <c r="F37" s="1" t="s">
        <v>91</v>
      </c>
      <c r="G37" s="1" t="s">
        <v>24</v>
      </c>
      <c r="H37" s="1">
        <v>2.11</v>
      </c>
      <c r="I37" s="1" t="s">
        <v>25</v>
      </c>
      <c r="J37" s="1" t="s">
        <v>26</v>
      </c>
      <c r="K37" s="1" t="s">
        <v>27</v>
      </c>
      <c r="L37" s="1" t="s">
        <v>56</v>
      </c>
      <c r="M37" s="1" t="s">
        <v>43</v>
      </c>
      <c r="N37" s="1" t="s">
        <v>30</v>
      </c>
      <c r="O37" s="2">
        <v>469.0</v>
      </c>
      <c r="P37" s="2">
        <f t="shared" si="0"/>
        <v>222.27488151659</v>
      </c>
      <c r="Q37" s="3">
        <f t="shared" si="1"/>
        <v>0.194690831556512</v>
      </c>
      <c r="R37" s="2">
        <v>179.0</v>
      </c>
      <c r="S37" s="2">
        <f>R37-10</f>
        <v>169.0</v>
      </c>
    </row>
    <row r="38" ht="17.0">
      <c r="A38" s="1" t="s">
        <v>92</v>
      </c>
      <c r="B38" s="1" t="s">
        <v>20</v>
      </c>
      <c r="C38" s="1" t="s">
        <v>21</v>
      </c>
      <c r="D38" s="1" t="s">
        <v>93</v>
      </c>
      <c r="E38" s="1" t="s">
        <v>94</v>
      </c>
      <c r="F38" s="1" t="s">
        <v>95</v>
      </c>
      <c r="G38" s="1" t="s">
        <v>24</v>
      </c>
      <c r="H38" s="1">
        <v>1.99</v>
      </c>
      <c r="I38" s="1" t="s">
        <v>96</v>
      </c>
      <c r="J38" s="1" t="s">
        <v>26</v>
      </c>
      <c r="K38" s="1" t="s">
        <v>27</v>
      </c>
      <c r="L38" s="1" t="s">
        <v>97</v>
      </c>
      <c r="M38" s="1" t="s">
        <v>98</v>
      </c>
      <c r="N38" s="1" t="s">
        <v>99</v>
      </c>
      <c r="O38" s="2">
        <v>429.0</v>
      </c>
      <c r="P38" s="2">
        <f t="shared" si="0"/>
        <v>215.577889447236</v>
      </c>
      <c r="Q38" s="3">
        <f t="shared" si="1"/>
        <v>0.169673659673659</v>
      </c>
      <c r="R38" s="2">
        <v>179.0</v>
      </c>
      <c r="S38" s="2">
        <v>169.0</v>
      </c>
    </row>
    <row r="39" ht="17.0">
      <c r="A39" s="1" t="s">
        <v>92</v>
      </c>
      <c r="B39" s="1" t="s">
        <v>20</v>
      </c>
      <c r="C39" s="1" t="s">
        <v>21</v>
      </c>
      <c r="D39" s="1" t="s">
        <v>93</v>
      </c>
      <c r="E39" s="11" t="s">
        <v>100</v>
      </c>
      <c r="F39" s="1" t="s">
        <v>101</v>
      </c>
      <c r="G39" s="1" t="s">
        <v>24</v>
      </c>
      <c r="H39" s="1">
        <v>1.99</v>
      </c>
      <c r="I39" s="1" t="s">
        <v>96</v>
      </c>
      <c r="J39" s="1" t="s">
        <v>26</v>
      </c>
      <c r="K39" s="1" t="s">
        <v>27</v>
      </c>
      <c r="M39" s="1" t="s">
        <v>98</v>
      </c>
      <c r="N39" s="1" t="s">
        <v>30</v>
      </c>
      <c r="O39" s="2">
        <v>429.0</v>
      </c>
      <c r="P39" s="2">
        <f t="shared" si="0"/>
        <v>215.577889447236</v>
      </c>
      <c r="Q39" s="3">
        <f t="shared" si="1"/>
        <v>0.169673659673659</v>
      </c>
      <c r="R39" s="2">
        <v>179.0</v>
      </c>
      <c r="S39" s="2">
        <v>159.0</v>
      </c>
    </row>
    <row r="40" ht="17.0">
      <c r="A40" s="1" t="s">
        <v>92</v>
      </c>
      <c r="B40" s="1" t="s">
        <v>20</v>
      </c>
      <c r="C40" s="1" t="s">
        <v>21</v>
      </c>
      <c r="D40" s="1" t="s">
        <v>93</v>
      </c>
      <c r="E40" s="1" t="s">
        <v>102</v>
      </c>
      <c r="F40" s="1" t="s">
        <v>103</v>
      </c>
      <c r="G40" s="1" t="s">
        <v>24</v>
      </c>
      <c r="H40" s="1">
        <v>1.8</v>
      </c>
      <c r="I40" s="1" t="s">
        <v>104</v>
      </c>
      <c r="J40" s="1" t="s">
        <v>26</v>
      </c>
      <c r="K40" s="1" t="s">
        <v>42</v>
      </c>
      <c r="L40" s="1" t="s">
        <v>28</v>
      </c>
      <c r="M40" s="1" t="s">
        <v>29</v>
      </c>
      <c r="N40" s="1" t="s">
        <v>30</v>
      </c>
      <c r="O40" s="2">
        <v>409.0</v>
      </c>
      <c r="P40" s="2">
        <f t="shared" si="0"/>
        <v>227.222222222222</v>
      </c>
      <c r="Q40" s="3">
        <f t="shared" si="1"/>
        <v>0.185819070904645</v>
      </c>
      <c r="R40" s="2">
        <v>185.0</v>
      </c>
      <c r="S40" s="2">
        <v>0.0</v>
      </c>
    </row>
    <row r="41" ht="17.0">
      <c r="A41" s="1" t="s">
        <v>92</v>
      </c>
      <c r="B41" s="1" t="s">
        <v>20</v>
      </c>
      <c r="C41" s="1" t="s">
        <v>21</v>
      </c>
      <c r="D41" s="1" t="s">
        <v>93</v>
      </c>
      <c r="E41" s="1" t="s">
        <v>105</v>
      </c>
      <c r="F41" s="1" t="s">
        <v>106</v>
      </c>
      <c r="G41" s="1" t="s">
        <v>24</v>
      </c>
      <c r="H41" s="1">
        <v>1.8</v>
      </c>
      <c r="I41" s="1" t="s">
        <v>104</v>
      </c>
      <c r="J41" s="1" t="s">
        <v>26</v>
      </c>
      <c r="K41" s="1" t="s">
        <v>42</v>
      </c>
      <c r="L41" s="1" t="s">
        <v>32</v>
      </c>
      <c r="M41" s="1" t="s">
        <v>29</v>
      </c>
      <c r="N41" s="1" t="s">
        <v>30</v>
      </c>
      <c r="O41" s="2">
        <v>409.0</v>
      </c>
      <c r="P41" s="2">
        <f t="shared" si="0"/>
        <v>227.222222222222</v>
      </c>
      <c r="Q41" s="3">
        <f t="shared" si="1"/>
        <v>0.185819070904645</v>
      </c>
      <c r="R41" s="2">
        <v>185.0</v>
      </c>
    </row>
    <row r="42" ht="17.0">
      <c r="A42" s="1" t="s">
        <v>19</v>
      </c>
      <c r="B42" s="1" t="s">
        <v>20</v>
      </c>
      <c r="C42" s="1" t="s">
        <v>21</v>
      </c>
      <c r="D42" s="1" t="s">
        <v>22</v>
      </c>
      <c r="E42" s="10">
        <v>5.22125413496351E14</v>
      </c>
      <c r="F42" s="1" t="s">
        <v>107</v>
      </c>
      <c r="G42" s="1" t="s">
        <v>24</v>
      </c>
      <c r="H42" s="1">
        <v>1.64</v>
      </c>
      <c r="I42" s="1" t="s">
        <v>69</v>
      </c>
      <c r="J42" s="1" t="s">
        <v>26</v>
      </c>
      <c r="K42" s="1" t="s">
        <v>58</v>
      </c>
      <c r="L42" s="1" t="s">
        <v>28</v>
      </c>
      <c r="M42" s="1" t="s">
        <v>29</v>
      </c>
      <c r="N42" s="1" t="s">
        <v>30</v>
      </c>
      <c r="O42" s="2">
        <v>449.0</v>
      </c>
      <c r="P42" s="2">
        <f t="shared" si="0"/>
        <v>273.780487804878</v>
      </c>
      <c r="Q42" s="3">
        <f t="shared" si="1"/>
        <v>0.30966592427617</v>
      </c>
      <c r="R42" s="2">
        <v>189.0</v>
      </c>
      <c r="S42" s="2">
        <v>0.0</v>
      </c>
    </row>
    <row r="43" ht="17.0">
      <c r="A43" s="1" t="s">
        <v>92</v>
      </c>
      <c r="B43" s="1" t="s">
        <v>20</v>
      </c>
      <c r="C43" s="1" t="s">
        <v>21</v>
      </c>
      <c r="D43" s="1" t="s">
        <v>93</v>
      </c>
      <c r="E43" s="1" t="s">
        <v>108</v>
      </c>
      <c r="F43" s="1" t="s">
        <v>109</v>
      </c>
      <c r="G43" s="1" t="s">
        <v>24</v>
      </c>
      <c r="H43" s="1">
        <v>1.89</v>
      </c>
      <c r="I43" s="1" t="s">
        <v>110</v>
      </c>
      <c r="J43" s="1" t="s">
        <v>26</v>
      </c>
      <c r="K43" s="1" t="s">
        <v>58</v>
      </c>
      <c r="L43" s="1" t="s">
        <v>59</v>
      </c>
      <c r="M43" s="1" t="s">
        <v>29</v>
      </c>
      <c r="N43" s="1" t="s">
        <v>30</v>
      </c>
      <c r="O43" s="2">
        <v>429.0</v>
      </c>
      <c r="P43" s="2">
        <f t="shared" si="0"/>
        <v>226.984126984127</v>
      </c>
      <c r="Q43" s="3">
        <f t="shared" si="1"/>
        <v>0.211398601398601</v>
      </c>
      <c r="R43" s="2">
        <v>179.0</v>
      </c>
      <c r="S43" s="2">
        <v>169.0</v>
      </c>
    </row>
    <row r="44" ht="17.0">
      <c r="A44" s="1" t="s">
        <v>92</v>
      </c>
      <c r="B44" s="1" t="s">
        <v>20</v>
      </c>
      <c r="C44" s="1" t="s">
        <v>21</v>
      </c>
      <c r="D44" s="1" t="s">
        <v>93</v>
      </c>
      <c r="E44" s="1" t="s">
        <v>111</v>
      </c>
      <c r="F44" s="1" t="s">
        <v>112</v>
      </c>
      <c r="G44" s="1" t="s">
        <v>24</v>
      </c>
      <c r="H44" s="1">
        <v>1.89</v>
      </c>
      <c r="I44" s="1" t="s">
        <v>110</v>
      </c>
      <c r="J44" s="1" t="s">
        <v>26</v>
      </c>
      <c r="K44" s="1" t="s">
        <v>58</v>
      </c>
      <c r="L44" s="1" t="s">
        <v>59</v>
      </c>
      <c r="M44" s="1" t="s">
        <v>29</v>
      </c>
      <c r="N44" s="1" t="s">
        <v>30</v>
      </c>
      <c r="O44" s="2">
        <v>429.0</v>
      </c>
      <c r="P44" s="2">
        <f t="shared" si="0"/>
        <v>226.984126984127</v>
      </c>
      <c r="Q44" s="3">
        <f t="shared" si="1"/>
        <v>0.167342657342656</v>
      </c>
      <c r="R44" s="2">
        <v>189.0</v>
      </c>
      <c r="S44" s="2">
        <v>179.0</v>
      </c>
    </row>
    <row r="45" ht="17.0">
      <c r="A45" s="1" t="s">
        <v>92</v>
      </c>
      <c r="B45" s="1" t="s">
        <v>20</v>
      </c>
      <c r="C45" s="1" t="s">
        <v>21</v>
      </c>
      <c r="D45" s="1" t="s">
        <v>93</v>
      </c>
      <c r="E45" s="1" t="s">
        <v>113</v>
      </c>
      <c r="F45" s="1" t="s">
        <v>114</v>
      </c>
      <c r="G45" s="1" t="s">
        <v>24</v>
      </c>
      <c r="H45" s="1">
        <v>1.89</v>
      </c>
      <c r="I45" s="1" t="s">
        <v>110</v>
      </c>
      <c r="J45" s="1" t="s">
        <v>26</v>
      </c>
      <c r="K45" s="1" t="s">
        <v>58</v>
      </c>
      <c r="L45" s="1" t="s">
        <v>32</v>
      </c>
      <c r="M45" s="1" t="s">
        <v>29</v>
      </c>
      <c r="N45" s="1" t="s">
        <v>30</v>
      </c>
      <c r="O45" s="2">
        <v>429.0</v>
      </c>
      <c r="P45" s="2">
        <f t="shared" si="0"/>
        <v>226.984126984127</v>
      </c>
      <c r="Q45" s="3">
        <f t="shared" si="1"/>
        <v>0.167342657342656</v>
      </c>
      <c r="R45" s="2">
        <v>189.0</v>
      </c>
      <c r="S45" s="2">
        <v>179.0</v>
      </c>
    </row>
    <row r="46" ht="17.0">
      <c r="A46" s="1" t="s">
        <v>92</v>
      </c>
      <c r="B46" s="1" t="s">
        <v>20</v>
      </c>
      <c r="C46" s="1" t="s">
        <v>21</v>
      </c>
      <c r="D46" s="1" t="s">
        <v>93</v>
      </c>
      <c r="E46" s="1" t="s">
        <v>115</v>
      </c>
      <c r="F46" s="1" t="s">
        <v>116</v>
      </c>
      <c r="G46" s="1" t="s">
        <v>24</v>
      </c>
      <c r="H46" s="1">
        <v>1.89</v>
      </c>
      <c r="I46" s="1" t="s">
        <v>110</v>
      </c>
      <c r="J46" s="1" t="s">
        <v>26</v>
      </c>
      <c r="K46" s="1" t="s">
        <v>58</v>
      </c>
      <c r="L46" s="1" t="s">
        <v>59</v>
      </c>
      <c r="M46" s="1" t="s">
        <v>29</v>
      </c>
      <c r="N46" s="1" t="s">
        <v>30</v>
      </c>
      <c r="O46" s="2">
        <v>429.0</v>
      </c>
      <c r="P46" s="2">
        <f t="shared" si="0"/>
        <v>226.984126984127</v>
      </c>
      <c r="Q46" s="3">
        <f t="shared" si="1"/>
        <v>0.211398601398601</v>
      </c>
      <c r="R46" s="2">
        <v>179.0</v>
      </c>
      <c r="S46" s="2">
        <v>169.0</v>
      </c>
    </row>
    <row r="47" ht="17.0">
      <c r="A47" s="1" t="s">
        <v>92</v>
      </c>
      <c r="B47" s="1" t="s">
        <v>20</v>
      </c>
      <c r="C47" s="1" t="s">
        <v>21</v>
      </c>
      <c r="D47" s="1" t="s">
        <v>93</v>
      </c>
      <c r="E47" s="1" t="s">
        <v>117</v>
      </c>
      <c r="F47" s="1" t="s">
        <v>118</v>
      </c>
      <c r="G47" s="1" t="s">
        <v>24</v>
      </c>
      <c r="H47" s="1">
        <v>1.89</v>
      </c>
      <c r="I47" s="1" t="s">
        <v>110</v>
      </c>
      <c r="J47" s="1" t="s">
        <v>26</v>
      </c>
      <c r="K47" s="1" t="s">
        <v>58</v>
      </c>
      <c r="L47" s="1" t="s">
        <v>59</v>
      </c>
      <c r="M47" s="1" t="s">
        <v>29</v>
      </c>
      <c r="N47" s="1" t="s">
        <v>30</v>
      </c>
      <c r="O47" s="2">
        <v>409.0</v>
      </c>
      <c r="P47" s="2">
        <f t="shared" si="0"/>
        <v>216.402116402116</v>
      </c>
      <c r="Q47" s="3">
        <f t="shared" si="1"/>
        <v>0.219046454767725</v>
      </c>
      <c r="R47" s="2">
        <v>169.0</v>
      </c>
      <c r="S47" s="2">
        <v>159.0</v>
      </c>
    </row>
    <row r="48" ht="17.0">
      <c r="A48" s="1" t="s">
        <v>45</v>
      </c>
      <c r="B48" s="1" t="s">
        <v>20</v>
      </c>
      <c r="C48" s="1" t="s">
        <v>21</v>
      </c>
      <c r="D48" s="1" t="s">
        <v>46</v>
      </c>
      <c r="E48" s="1" t="s">
        <v>119</v>
      </c>
      <c r="F48" s="1" t="s">
        <v>120</v>
      </c>
      <c r="G48" s="1" t="s">
        <v>24</v>
      </c>
      <c r="H48" s="1">
        <v>1.08</v>
      </c>
      <c r="I48" s="1" t="s">
        <v>121</v>
      </c>
      <c r="J48" s="1" t="s">
        <v>26</v>
      </c>
      <c r="K48" s="1" t="s">
        <v>58</v>
      </c>
      <c r="L48" s="1" t="s">
        <v>28</v>
      </c>
      <c r="M48" s="1" t="s">
        <v>29</v>
      </c>
      <c r="N48" s="1" t="s">
        <v>30</v>
      </c>
      <c r="O48" s="2">
        <v>239.0</v>
      </c>
      <c r="P48" s="2">
        <f t="shared" si="0"/>
        <v>221.296296296296</v>
      </c>
      <c r="Q48" s="3">
        <f t="shared" si="1"/>
        <v>0.145941422594141</v>
      </c>
      <c r="R48" s="2">
        <v>189.0</v>
      </c>
      <c r="S48" s="2">
        <f t="shared" ref="S48:S51" si="4">R48-10</f>
        <v>179.0</v>
      </c>
    </row>
    <row r="49" ht="17.0">
      <c r="A49" s="1" t="s">
        <v>45</v>
      </c>
      <c r="B49" s="1" t="s">
        <v>20</v>
      </c>
      <c r="C49" s="1" t="s">
        <v>21</v>
      </c>
      <c r="D49" s="1" t="s">
        <v>46</v>
      </c>
      <c r="E49" s="1" t="s">
        <v>122</v>
      </c>
      <c r="F49" s="1" t="s">
        <v>123</v>
      </c>
      <c r="G49" s="1" t="s">
        <v>24</v>
      </c>
      <c r="H49" s="1">
        <v>1.08</v>
      </c>
      <c r="I49" s="1" t="s">
        <v>121</v>
      </c>
      <c r="J49" s="1" t="s">
        <v>26</v>
      </c>
      <c r="K49" s="1" t="s">
        <v>58</v>
      </c>
      <c r="L49" s="1" t="s">
        <v>28</v>
      </c>
      <c r="M49" s="1" t="s">
        <v>29</v>
      </c>
      <c r="N49" s="1" t="s">
        <v>30</v>
      </c>
      <c r="O49" s="2">
        <v>259.0</v>
      </c>
      <c r="P49" s="2">
        <f t="shared" si="0"/>
        <v>239.814814814814</v>
      </c>
      <c r="Q49" s="3">
        <f t="shared" si="1"/>
        <v>0.211891891891888</v>
      </c>
      <c r="R49" s="2">
        <v>189.0</v>
      </c>
      <c r="S49" s="2">
        <f t="shared" si="4"/>
        <v>179.0</v>
      </c>
    </row>
    <row r="50" ht="17.0">
      <c r="A50" s="1" t="s">
        <v>45</v>
      </c>
      <c r="B50" s="1" t="s">
        <v>20</v>
      </c>
      <c r="C50" s="1" t="s">
        <v>21</v>
      </c>
      <c r="D50" s="1" t="s">
        <v>46</v>
      </c>
      <c r="E50" s="1" t="s">
        <v>124</v>
      </c>
      <c r="F50" s="1" t="s">
        <v>125</v>
      </c>
      <c r="G50" s="1" t="s">
        <v>24</v>
      </c>
      <c r="H50" s="1">
        <v>1.64</v>
      </c>
      <c r="I50" s="1" t="s">
        <v>126</v>
      </c>
      <c r="J50" s="1" t="s">
        <v>26</v>
      </c>
      <c r="K50" s="1" t="s">
        <v>58</v>
      </c>
      <c r="L50" s="1" t="s">
        <v>28</v>
      </c>
      <c r="M50" s="1" t="s">
        <v>29</v>
      </c>
      <c r="N50" s="1" t="s">
        <v>30</v>
      </c>
      <c r="O50" s="2">
        <v>549.0</v>
      </c>
      <c r="P50" s="2">
        <f t="shared" si="0"/>
        <v>334.756097560976</v>
      </c>
      <c r="Q50" s="3">
        <f t="shared" si="1"/>
        <v>0.435409836065574</v>
      </c>
      <c r="R50" s="2">
        <v>189.0</v>
      </c>
      <c r="S50" s="2">
        <f t="shared" si="4"/>
        <v>179.0</v>
      </c>
    </row>
    <row r="51" ht="17.0">
      <c r="A51" s="1" t="s">
        <v>45</v>
      </c>
      <c r="B51" s="1" t="s">
        <v>20</v>
      </c>
      <c r="C51" s="1" t="s">
        <v>21</v>
      </c>
      <c r="D51" s="1" t="s">
        <v>46</v>
      </c>
      <c r="E51" s="1" t="s">
        <v>127</v>
      </c>
      <c r="F51" s="1" t="s">
        <v>128</v>
      </c>
      <c r="G51" s="1" t="s">
        <v>24</v>
      </c>
      <c r="H51" s="1">
        <v>1.64</v>
      </c>
      <c r="I51" s="1" t="s">
        <v>126</v>
      </c>
      <c r="J51" s="1" t="s">
        <v>26</v>
      </c>
      <c r="K51" s="1" t="s">
        <v>58</v>
      </c>
      <c r="L51" s="1" t="s">
        <v>32</v>
      </c>
      <c r="M51" s="1" t="s">
        <v>29</v>
      </c>
      <c r="N51" s="1" t="s">
        <v>30</v>
      </c>
      <c r="O51" s="2">
        <v>399.0</v>
      </c>
      <c r="P51" s="2">
        <f t="shared" si="0"/>
        <v>243.292682926829</v>
      </c>
      <c r="Q51" s="3">
        <f t="shared" si="1"/>
        <v>0.223157894736841</v>
      </c>
      <c r="R51" s="2">
        <v>189.0</v>
      </c>
      <c r="S51" s="2">
        <f t="shared" si="4"/>
        <v>179.0</v>
      </c>
    </row>
    <row r="52" ht="17.0">
      <c r="A52" s="1" t="s">
        <v>92</v>
      </c>
      <c r="B52" s="1" t="s">
        <v>20</v>
      </c>
      <c r="C52" s="1" t="s">
        <v>21</v>
      </c>
      <c r="D52" s="1" t="s">
        <v>93</v>
      </c>
      <c r="E52" s="1" t="s">
        <v>129</v>
      </c>
      <c r="F52" s="1" t="s">
        <v>130</v>
      </c>
      <c r="G52" s="1" t="s">
        <v>24</v>
      </c>
      <c r="H52" s="1">
        <v>1.89</v>
      </c>
      <c r="I52" s="1" t="s">
        <v>110</v>
      </c>
      <c r="J52" s="1" t="s">
        <v>26</v>
      </c>
      <c r="K52" s="1" t="s">
        <v>58</v>
      </c>
      <c r="L52" s="1" t="s">
        <v>131</v>
      </c>
      <c r="M52" s="1" t="s">
        <v>29</v>
      </c>
      <c r="N52" s="1" t="s">
        <v>30</v>
      </c>
      <c r="O52" s="2">
        <v>409.0</v>
      </c>
      <c r="P52" s="2">
        <f t="shared" si="0"/>
        <v>216.402116402116</v>
      </c>
      <c r="Q52" s="3">
        <f t="shared" si="1"/>
        <v>0.17283618581907</v>
      </c>
      <c r="R52" s="2">
        <v>179.0</v>
      </c>
      <c r="S52" s="2">
        <v>169.0</v>
      </c>
    </row>
    <row r="53" ht="17.0">
      <c r="A53" s="1" t="s">
        <v>92</v>
      </c>
      <c r="B53" s="1" t="s">
        <v>20</v>
      </c>
      <c r="C53" s="1" t="s">
        <v>21</v>
      </c>
      <c r="D53" s="1" t="s">
        <v>93</v>
      </c>
      <c r="E53" s="1" t="s">
        <v>132</v>
      </c>
      <c r="F53" s="1" t="s">
        <v>133</v>
      </c>
      <c r="G53" s="1" t="s">
        <v>24</v>
      </c>
      <c r="H53" s="1">
        <v>1.89</v>
      </c>
      <c r="I53" s="1" t="s">
        <v>110</v>
      </c>
      <c r="J53" s="1" t="s">
        <v>26</v>
      </c>
      <c r="K53" s="1" t="s">
        <v>58</v>
      </c>
      <c r="L53" s="1" t="s">
        <v>59</v>
      </c>
      <c r="M53" s="1" t="s">
        <v>29</v>
      </c>
      <c r="N53" s="1" t="s">
        <v>30</v>
      </c>
      <c r="O53" s="2">
        <v>409.0</v>
      </c>
      <c r="P53" s="2">
        <f t="shared" si="0"/>
        <v>216.402116402116</v>
      </c>
      <c r="Q53" s="3">
        <f t="shared" si="1"/>
        <v>0.219046454767725</v>
      </c>
      <c r="R53" s="2">
        <v>169.0</v>
      </c>
      <c r="S53" s="2">
        <v>159.0</v>
      </c>
    </row>
    <row r="54" ht="17.0">
      <c r="A54" s="1" t="s">
        <v>92</v>
      </c>
      <c r="B54" s="1" t="s">
        <v>20</v>
      </c>
      <c r="C54" s="1" t="s">
        <v>21</v>
      </c>
      <c r="D54" s="1" t="s">
        <v>93</v>
      </c>
      <c r="E54" s="1" t="s">
        <v>134</v>
      </c>
      <c r="F54" s="1" t="s">
        <v>135</v>
      </c>
      <c r="G54" s="1" t="s">
        <v>24</v>
      </c>
      <c r="H54" s="1">
        <v>1.89</v>
      </c>
      <c r="I54" s="1" t="s">
        <v>110</v>
      </c>
      <c r="J54" s="1" t="s">
        <v>26</v>
      </c>
      <c r="K54" s="1" t="s">
        <v>58</v>
      </c>
      <c r="L54" s="1" t="s">
        <v>32</v>
      </c>
      <c r="M54" s="1" t="s">
        <v>29</v>
      </c>
      <c r="N54" s="1" t="s">
        <v>30</v>
      </c>
      <c r="O54" s="2">
        <v>429.0</v>
      </c>
      <c r="P54" s="2">
        <f t="shared" si="0"/>
        <v>226.984126984127</v>
      </c>
      <c r="Q54" s="3">
        <f t="shared" si="1"/>
        <v>0.167342657342656</v>
      </c>
      <c r="R54" s="2">
        <v>189.0</v>
      </c>
      <c r="S54" s="2">
        <v>169.0</v>
      </c>
    </row>
    <row r="55" ht="17.0">
      <c r="A55" s="1" t="s">
        <v>92</v>
      </c>
      <c r="B55" s="1" t="s">
        <v>20</v>
      </c>
      <c r="C55" s="1" t="s">
        <v>21</v>
      </c>
      <c r="D55" s="1" t="s">
        <v>93</v>
      </c>
      <c r="E55" s="1" t="s">
        <v>136</v>
      </c>
      <c r="F55" s="1" t="s">
        <v>137</v>
      </c>
      <c r="G55" s="1" t="s">
        <v>24</v>
      </c>
      <c r="H55" s="1">
        <v>1.89</v>
      </c>
      <c r="I55" s="1" t="s">
        <v>110</v>
      </c>
      <c r="J55" s="1" t="s">
        <v>26</v>
      </c>
      <c r="K55" s="1" t="s">
        <v>58</v>
      </c>
      <c r="L55" s="1" t="s">
        <v>59</v>
      </c>
      <c r="M55" s="1" t="s">
        <v>29</v>
      </c>
      <c r="N55" s="1" t="s">
        <v>30</v>
      </c>
      <c r="O55" s="2">
        <v>429.0</v>
      </c>
      <c r="P55" s="2">
        <f t="shared" si="0"/>
        <v>226.984126984127</v>
      </c>
      <c r="Q55" s="3">
        <f t="shared" si="1"/>
        <v>0.167342657342656</v>
      </c>
      <c r="R55" s="2">
        <v>189.0</v>
      </c>
      <c r="S55" s="2">
        <v>169.0</v>
      </c>
    </row>
    <row r="56" ht="17.0">
      <c r="A56" s="1" t="s">
        <v>45</v>
      </c>
      <c r="B56" s="1" t="s">
        <v>20</v>
      </c>
      <c r="C56" s="1" t="s">
        <v>21</v>
      </c>
      <c r="D56" s="1" t="s">
        <v>46</v>
      </c>
      <c r="E56" s="1" t="s">
        <v>138</v>
      </c>
      <c r="F56" s="1" t="s">
        <v>139</v>
      </c>
      <c r="G56" s="1" t="s">
        <v>24</v>
      </c>
      <c r="H56" s="1">
        <v>1.63</v>
      </c>
      <c r="I56" s="1" t="s">
        <v>85</v>
      </c>
      <c r="J56" s="1" t="s">
        <v>26</v>
      </c>
      <c r="K56" s="1" t="s">
        <v>27</v>
      </c>
      <c r="L56" s="1" t="s">
        <v>28</v>
      </c>
      <c r="M56" s="1" t="s">
        <v>43</v>
      </c>
      <c r="N56" s="1" t="s">
        <v>30</v>
      </c>
      <c r="O56" s="2">
        <v>379.0</v>
      </c>
      <c r="P56" s="2">
        <f t="shared" si="0"/>
        <v>232.515337423312</v>
      </c>
      <c r="Q56" s="3">
        <f t="shared" si="1"/>
        <v>0.187150395778361</v>
      </c>
      <c r="R56" s="2">
        <v>189.0</v>
      </c>
      <c r="S56" s="2">
        <f t="shared" ref="S56:S58" si="5">R56-10</f>
        <v>179.0</v>
      </c>
    </row>
    <row r="57" ht="17.0">
      <c r="A57" s="1" t="s">
        <v>45</v>
      </c>
      <c r="B57" s="1" t="s">
        <v>20</v>
      </c>
      <c r="C57" s="1" t="s">
        <v>21</v>
      </c>
      <c r="D57" s="1" t="s">
        <v>46</v>
      </c>
      <c r="E57" s="1" t="s">
        <v>140</v>
      </c>
      <c r="F57" s="1" t="s">
        <v>141</v>
      </c>
      <c r="G57" s="1" t="s">
        <v>24</v>
      </c>
      <c r="H57" s="1">
        <v>1.63</v>
      </c>
      <c r="I57" s="1" t="s">
        <v>85</v>
      </c>
      <c r="J57" s="1" t="s">
        <v>26</v>
      </c>
      <c r="K57" s="1" t="s">
        <v>27</v>
      </c>
      <c r="L57" s="1" t="s">
        <v>32</v>
      </c>
      <c r="M57" s="1" t="s">
        <v>43</v>
      </c>
      <c r="N57" s="1" t="s">
        <v>30</v>
      </c>
      <c r="O57" s="2">
        <v>379.0</v>
      </c>
      <c r="P57" s="2">
        <f t="shared" si="0"/>
        <v>232.515337423312</v>
      </c>
      <c r="Q57" s="3">
        <f t="shared" si="1"/>
        <v>0.187150395778361</v>
      </c>
      <c r="R57" s="2">
        <v>189.0</v>
      </c>
      <c r="S57" s="2">
        <f t="shared" si="5"/>
        <v>179.0</v>
      </c>
    </row>
    <row r="58" ht="17.0">
      <c r="A58" s="1" t="s">
        <v>45</v>
      </c>
      <c r="B58" s="1" t="s">
        <v>20</v>
      </c>
      <c r="C58" s="1" t="s">
        <v>21</v>
      </c>
      <c r="D58" s="1" t="s">
        <v>46</v>
      </c>
      <c r="E58" s="1" t="s">
        <v>142</v>
      </c>
      <c r="F58" s="1" t="s">
        <v>143</v>
      </c>
      <c r="G58" s="1" t="s">
        <v>24</v>
      </c>
      <c r="H58" s="1">
        <v>1.63</v>
      </c>
      <c r="I58" s="1" t="s">
        <v>85</v>
      </c>
      <c r="J58" s="1" t="s">
        <v>26</v>
      </c>
      <c r="K58" s="1" t="s">
        <v>27</v>
      </c>
      <c r="L58" s="1" t="s">
        <v>56</v>
      </c>
      <c r="M58" s="1" t="s">
        <v>43</v>
      </c>
      <c r="N58" s="1" t="s">
        <v>30</v>
      </c>
      <c r="O58" s="2">
        <v>379.0</v>
      </c>
      <c r="P58" s="2">
        <f t="shared" si="0"/>
        <v>232.515337423312</v>
      </c>
      <c r="Q58" s="3">
        <f t="shared" si="1"/>
        <v>0.187150395778361</v>
      </c>
      <c r="R58" s="2">
        <v>189.0</v>
      </c>
      <c r="S58" s="2">
        <f t="shared" si="5"/>
        <v>179.0</v>
      </c>
    </row>
    <row r="59" ht="17.0">
      <c r="A59" s="1" t="s">
        <v>92</v>
      </c>
      <c r="B59" s="1" t="s">
        <v>20</v>
      </c>
      <c r="C59" s="1" t="s">
        <v>21</v>
      </c>
      <c r="D59" s="1" t="s">
        <v>93</v>
      </c>
      <c r="E59" s="1" t="s">
        <v>144</v>
      </c>
      <c r="F59" s="1" t="s">
        <v>145</v>
      </c>
      <c r="G59" s="1" t="s">
        <v>24</v>
      </c>
      <c r="H59" s="1">
        <v>1.8</v>
      </c>
      <c r="I59" s="1" t="s">
        <v>104</v>
      </c>
      <c r="J59" s="1" t="s">
        <v>26</v>
      </c>
      <c r="K59" s="1" t="s">
        <v>42</v>
      </c>
      <c r="L59" s="1" t="s">
        <v>28</v>
      </c>
      <c r="M59" s="1" t="s">
        <v>29</v>
      </c>
      <c r="N59" s="1" t="s">
        <v>30</v>
      </c>
      <c r="O59" s="2">
        <v>409.0</v>
      </c>
      <c r="P59" s="2">
        <f t="shared" si="0"/>
        <v>227.222222222222</v>
      </c>
      <c r="Q59" s="3">
        <f t="shared" si="1"/>
        <v>0.168215158924205</v>
      </c>
      <c r="R59" s="2">
        <v>189.0</v>
      </c>
      <c r="S59" s="2">
        <v>179.0</v>
      </c>
    </row>
    <row r="60" ht="17.0">
      <c r="A60" s="1" t="s">
        <v>19</v>
      </c>
      <c r="B60" s="1" t="s">
        <v>20</v>
      </c>
      <c r="C60" s="1" t="s">
        <v>21</v>
      </c>
      <c r="D60" s="1" t="s">
        <v>22</v>
      </c>
      <c r="E60" s="10">
        <v>5.20256251026151E14</v>
      </c>
      <c r="F60" s="1" t="s">
        <v>146</v>
      </c>
      <c r="G60" s="1" t="s">
        <v>24</v>
      </c>
      <c r="H60" s="1">
        <v>1.53</v>
      </c>
      <c r="I60" s="1" t="s">
        <v>147</v>
      </c>
      <c r="J60" s="1" t="s">
        <v>26</v>
      </c>
      <c r="K60" s="1" t="s">
        <v>27</v>
      </c>
      <c r="L60" s="1" t="s">
        <v>28</v>
      </c>
      <c r="M60" s="1" t="s">
        <v>29</v>
      </c>
      <c r="N60" s="1" t="s">
        <v>30</v>
      </c>
      <c r="O60" s="2">
        <v>369.0</v>
      </c>
      <c r="P60" s="2">
        <f t="shared" si="0"/>
        <v>241.176470588235</v>
      </c>
      <c r="Q60" s="3">
        <f t="shared" si="1"/>
        <v>0.174878048780485</v>
      </c>
      <c r="R60" s="2">
        <v>199.0</v>
      </c>
      <c r="S60" s="2">
        <v>0.0</v>
      </c>
    </row>
    <row r="61" ht="17.0">
      <c r="A61" s="1" t="s">
        <v>19</v>
      </c>
      <c r="B61" s="1" t="s">
        <v>20</v>
      </c>
      <c r="C61" s="1" t="s">
        <v>21</v>
      </c>
      <c r="D61" s="1" t="s">
        <v>22</v>
      </c>
      <c r="E61" s="10">
        <v>5.21821408011151E14</v>
      </c>
      <c r="F61" s="1" t="s">
        <v>148</v>
      </c>
      <c r="G61" s="1" t="s">
        <v>24</v>
      </c>
      <c r="H61" s="1">
        <v>1.53</v>
      </c>
      <c r="I61" s="1" t="s">
        <v>147</v>
      </c>
      <c r="J61" s="1" t="s">
        <v>26</v>
      </c>
      <c r="K61" s="1" t="s">
        <v>27</v>
      </c>
      <c r="L61" s="1" t="s">
        <v>32</v>
      </c>
      <c r="M61" s="1" t="s">
        <v>29</v>
      </c>
      <c r="N61" s="1" t="s">
        <v>30</v>
      </c>
      <c r="O61" s="2">
        <v>389.0</v>
      </c>
      <c r="P61" s="2">
        <f t="shared" si="0"/>
        <v>254.248366013071</v>
      </c>
      <c r="Q61" s="3">
        <f t="shared" si="1"/>
        <v>0.217300771208223</v>
      </c>
      <c r="R61" s="2">
        <v>199.0</v>
      </c>
      <c r="S61" s="2">
        <v>0.0</v>
      </c>
    </row>
    <row r="62" ht="17.0">
      <c r="A62" s="1" t="s">
        <v>19</v>
      </c>
      <c r="B62" s="1" t="s">
        <v>20</v>
      </c>
      <c r="C62" s="1" t="s">
        <v>21</v>
      </c>
      <c r="D62" s="1" t="s">
        <v>22</v>
      </c>
      <c r="E62" s="10">
        <v>5.21106090564351E14</v>
      </c>
      <c r="F62" s="1" t="s">
        <v>149</v>
      </c>
      <c r="G62" s="1" t="s">
        <v>24</v>
      </c>
      <c r="H62" s="1">
        <v>1.62</v>
      </c>
      <c r="I62" s="1" t="s">
        <v>85</v>
      </c>
      <c r="J62" s="1" t="s">
        <v>26</v>
      </c>
      <c r="K62" s="1" t="s">
        <v>42</v>
      </c>
      <c r="L62" s="1" t="s">
        <v>63</v>
      </c>
      <c r="M62" s="1" t="s">
        <v>29</v>
      </c>
      <c r="N62" s="1" t="s">
        <v>30</v>
      </c>
      <c r="O62" s="2">
        <v>389.0</v>
      </c>
      <c r="P62" s="2">
        <f t="shared" si="0"/>
        <v>240.123456790123</v>
      </c>
      <c r="Q62" s="3">
        <f t="shared" si="1"/>
        <v>0.171259640102827</v>
      </c>
      <c r="R62" s="2">
        <v>199.0</v>
      </c>
      <c r="S62" s="2">
        <v>0.0</v>
      </c>
    </row>
    <row r="63" ht="17.0">
      <c r="A63" s="1" t="s">
        <v>19</v>
      </c>
      <c r="B63" s="1" t="s">
        <v>20</v>
      </c>
      <c r="C63" s="1" t="s">
        <v>21</v>
      </c>
      <c r="D63" s="1" t="s">
        <v>22</v>
      </c>
      <c r="E63" s="10">
        <v>5.21666090473021E14</v>
      </c>
      <c r="F63" s="1" t="s">
        <v>150</v>
      </c>
      <c r="G63" s="1" t="s">
        <v>24</v>
      </c>
      <c r="H63" s="1">
        <v>1.62</v>
      </c>
      <c r="I63" s="1" t="s">
        <v>85</v>
      </c>
      <c r="J63" s="1" t="s">
        <v>26</v>
      </c>
      <c r="K63" s="1" t="s">
        <v>42</v>
      </c>
      <c r="L63" s="1" t="s">
        <v>59</v>
      </c>
      <c r="M63" s="1" t="s">
        <v>29</v>
      </c>
      <c r="N63" s="1" t="s">
        <v>30</v>
      </c>
      <c r="O63" s="2">
        <v>389.0</v>
      </c>
      <c r="P63" s="2">
        <f t="shared" si="0"/>
        <v>240.123456790123</v>
      </c>
      <c r="Q63" s="3">
        <f t="shared" si="1"/>
        <v>0.171259640102827</v>
      </c>
      <c r="R63" s="2">
        <v>199.0</v>
      </c>
      <c r="S63" s="2">
        <v>0.0</v>
      </c>
    </row>
    <row r="64" ht="17.0">
      <c r="A64" s="1" t="s">
        <v>19</v>
      </c>
      <c r="B64" s="1" t="s">
        <v>20</v>
      </c>
      <c r="C64" s="1" t="s">
        <v>21</v>
      </c>
      <c r="D64" s="1" t="s">
        <v>22</v>
      </c>
      <c r="E64" s="10">
        <v>5.22610090056021E14</v>
      </c>
      <c r="F64" s="1" t="s">
        <v>151</v>
      </c>
      <c r="G64" s="1" t="s">
        <v>24</v>
      </c>
      <c r="H64" s="1">
        <v>1.62</v>
      </c>
      <c r="I64" s="1" t="s">
        <v>85</v>
      </c>
      <c r="J64" s="1" t="s">
        <v>26</v>
      </c>
      <c r="K64" s="1" t="s">
        <v>42</v>
      </c>
      <c r="L64" s="1" t="s">
        <v>59</v>
      </c>
      <c r="M64" s="1" t="s">
        <v>29</v>
      </c>
      <c r="N64" s="1" t="s">
        <v>30</v>
      </c>
      <c r="O64" s="2">
        <v>409.0</v>
      </c>
      <c r="P64" s="2">
        <f t="shared" si="0"/>
        <v>252.469135802469</v>
      </c>
      <c r="Q64" s="3">
        <f t="shared" si="1"/>
        <v>0.211784841075793</v>
      </c>
      <c r="R64" s="2">
        <v>199.0</v>
      </c>
      <c r="S64" s="2">
        <v>0.0</v>
      </c>
    </row>
    <row r="65" ht="17.0">
      <c r="A65" s="1" t="s">
        <v>19</v>
      </c>
      <c r="B65" s="1" t="s">
        <v>20</v>
      </c>
      <c r="C65" s="1" t="s">
        <v>21</v>
      </c>
      <c r="D65" s="1" t="s">
        <v>22</v>
      </c>
      <c r="E65" s="10">
        <v>5.22607279011201E14</v>
      </c>
      <c r="F65" s="1" t="s">
        <v>152</v>
      </c>
      <c r="G65" s="1" t="s">
        <v>24</v>
      </c>
      <c r="H65" s="1">
        <v>1.54</v>
      </c>
      <c r="I65" s="1" t="s">
        <v>153</v>
      </c>
      <c r="J65" s="1" t="s">
        <v>26</v>
      </c>
      <c r="K65" s="1" t="s">
        <v>154</v>
      </c>
      <c r="L65" s="1" t="s">
        <v>32</v>
      </c>
      <c r="M65" s="1" t="s">
        <v>29</v>
      </c>
      <c r="N65" s="1" t="s">
        <v>30</v>
      </c>
      <c r="O65" s="2">
        <v>369.0</v>
      </c>
      <c r="P65" s="2">
        <f t="shared" si="0"/>
        <v>239.61038961039</v>
      </c>
      <c r="Q65" s="3">
        <f t="shared" si="1"/>
        <v>0.169485094850948</v>
      </c>
      <c r="R65" s="2">
        <v>199.0</v>
      </c>
      <c r="S65" s="2">
        <v>0.0</v>
      </c>
    </row>
    <row r="66" ht="17.0">
      <c r="A66" s="1" t="s">
        <v>92</v>
      </c>
      <c r="B66" s="1" t="s">
        <v>20</v>
      </c>
      <c r="C66" s="1" t="s">
        <v>21</v>
      </c>
      <c r="D66" s="1" t="s">
        <v>93</v>
      </c>
      <c r="E66" s="1" t="s">
        <v>155</v>
      </c>
      <c r="F66" s="1" t="s">
        <v>156</v>
      </c>
      <c r="G66" s="1" t="s">
        <v>24</v>
      </c>
      <c r="H66" s="1">
        <v>1.8</v>
      </c>
      <c r="I66" s="1" t="s">
        <v>104</v>
      </c>
      <c r="J66" s="1" t="s">
        <v>26</v>
      </c>
      <c r="K66" s="1" t="s">
        <v>42</v>
      </c>
      <c r="L66" s="1" t="s">
        <v>32</v>
      </c>
      <c r="M66" s="1" t="s">
        <v>29</v>
      </c>
      <c r="N66" s="1" t="s">
        <v>30</v>
      </c>
      <c r="O66" s="2">
        <v>409.0</v>
      </c>
      <c r="P66" s="2">
        <f t="shared" si="0"/>
        <v>227.222222222222</v>
      </c>
      <c r="Q66" s="3">
        <f t="shared" si="1"/>
        <v>0.124205378973104</v>
      </c>
      <c r="R66" s="2">
        <v>199.0</v>
      </c>
      <c r="S66" s="2">
        <v>179.0</v>
      </c>
    </row>
    <row r="67" ht="17.0">
      <c r="A67" s="1" t="s">
        <v>92</v>
      </c>
      <c r="B67" s="1" t="s">
        <v>20</v>
      </c>
      <c r="C67" s="1" t="s">
        <v>21</v>
      </c>
      <c r="D67" s="1" t="s">
        <v>93</v>
      </c>
      <c r="E67" s="1" t="s">
        <v>157</v>
      </c>
      <c r="F67" s="1" t="s">
        <v>158</v>
      </c>
      <c r="G67" s="1" t="s">
        <v>24</v>
      </c>
      <c r="H67" s="1">
        <v>1.8</v>
      </c>
      <c r="I67" s="1" t="s">
        <v>104</v>
      </c>
      <c r="J67" s="1" t="s">
        <v>26</v>
      </c>
      <c r="K67" s="1" t="s">
        <v>42</v>
      </c>
      <c r="L67" s="1" t="s">
        <v>97</v>
      </c>
      <c r="M67" s="1" t="s">
        <v>29</v>
      </c>
      <c r="N67" s="1" t="s">
        <v>30</v>
      </c>
      <c r="O67" s="2">
        <v>409.0</v>
      </c>
      <c r="P67" s="2">
        <f t="shared" si="0"/>
        <v>227.222222222222</v>
      </c>
      <c r="Q67" s="3">
        <f t="shared" si="1"/>
        <v>0.124205378973104</v>
      </c>
      <c r="R67" s="2">
        <v>199.0</v>
      </c>
      <c r="S67" s="2">
        <v>179.0</v>
      </c>
    </row>
    <row r="68" ht="17.0">
      <c r="A68" s="1" t="s">
        <v>92</v>
      </c>
      <c r="B68" s="1" t="s">
        <v>20</v>
      </c>
      <c r="C68" s="1" t="s">
        <v>21</v>
      </c>
      <c r="D68" s="1" t="s">
        <v>93</v>
      </c>
      <c r="E68" s="1" t="s">
        <v>159</v>
      </c>
      <c r="F68" s="1" t="s">
        <v>160</v>
      </c>
      <c r="G68" s="1" t="s">
        <v>24</v>
      </c>
      <c r="H68" s="1">
        <v>1.8</v>
      </c>
      <c r="I68" s="1" t="s">
        <v>104</v>
      </c>
      <c r="J68" s="1" t="s">
        <v>26</v>
      </c>
      <c r="K68" s="1" t="s">
        <v>27</v>
      </c>
      <c r="L68" s="1" t="s">
        <v>28</v>
      </c>
      <c r="M68" s="1" t="s">
        <v>29</v>
      </c>
      <c r="N68" s="1" t="s">
        <v>30</v>
      </c>
      <c r="O68" s="2">
        <v>409.0</v>
      </c>
      <c r="P68" s="2">
        <f t="shared" si="0"/>
        <v>227.222222222222</v>
      </c>
      <c r="Q68" s="3">
        <f t="shared" si="1"/>
        <v>0.124205378973104</v>
      </c>
      <c r="R68" s="2">
        <v>199.0</v>
      </c>
      <c r="S68" s="2">
        <v>174.0</v>
      </c>
    </row>
    <row r="69" ht="17.0">
      <c r="A69" s="1" t="s">
        <v>92</v>
      </c>
      <c r="B69" s="1" t="s">
        <v>20</v>
      </c>
      <c r="C69" s="1" t="s">
        <v>21</v>
      </c>
      <c r="D69" s="1" t="s">
        <v>93</v>
      </c>
      <c r="E69" s="1" t="s">
        <v>161</v>
      </c>
      <c r="F69" s="1" t="s">
        <v>162</v>
      </c>
      <c r="G69" s="1" t="s">
        <v>24</v>
      </c>
      <c r="H69" s="1">
        <v>1.8</v>
      </c>
      <c r="I69" s="1" t="s">
        <v>104</v>
      </c>
      <c r="J69" s="1" t="s">
        <v>26</v>
      </c>
      <c r="K69" s="1" t="s">
        <v>27</v>
      </c>
      <c r="L69" s="1" t="s">
        <v>32</v>
      </c>
      <c r="M69" s="1" t="s">
        <v>29</v>
      </c>
      <c r="N69" s="1" t="s">
        <v>30</v>
      </c>
      <c r="O69" s="2">
        <v>409.0</v>
      </c>
      <c r="P69" s="2">
        <f t="shared" si="0"/>
        <v>227.222222222222</v>
      </c>
      <c r="Q69" s="3">
        <f t="shared" si="1"/>
        <v>0.124205378973104</v>
      </c>
      <c r="R69" s="2">
        <v>199.0</v>
      </c>
      <c r="S69" s="2">
        <v>179.0</v>
      </c>
    </row>
    <row r="70" ht="17.0">
      <c r="A70" s="1" t="s">
        <v>92</v>
      </c>
      <c r="B70" s="1" t="s">
        <v>20</v>
      </c>
      <c r="C70" s="1" t="s">
        <v>21</v>
      </c>
      <c r="D70" s="1" t="s">
        <v>93</v>
      </c>
      <c r="E70" s="1" t="s">
        <v>163</v>
      </c>
      <c r="F70" s="1" t="s">
        <v>164</v>
      </c>
      <c r="G70" s="1" t="s">
        <v>24</v>
      </c>
      <c r="H70" s="1">
        <v>1.8</v>
      </c>
      <c r="I70" s="1" t="s">
        <v>104</v>
      </c>
      <c r="J70" s="1" t="s">
        <v>26</v>
      </c>
      <c r="K70" s="1" t="s">
        <v>42</v>
      </c>
      <c r="L70" s="1" t="s">
        <v>131</v>
      </c>
      <c r="M70" s="1" t="s">
        <v>29</v>
      </c>
      <c r="N70" s="1" t="s">
        <v>30</v>
      </c>
      <c r="O70" s="2">
        <v>449.0</v>
      </c>
      <c r="P70" s="2">
        <f t="shared" si="0"/>
        <v>249.444444444444</v>
      </c>
      <c r="Q70" s="3">
        <f t="shared" si="1"/>
        <v>0.202227171492203</v>
      </c>
      <c r="R70" s="2">
        <v>199.0</v>
      </c>
      <c r="S70" s="2">
        <v>185.0</v>
      </c>
    </row>
    <row r="71" ht="17.0">
      <c r="A71" s="1" t="s">
        <v>92</v>
      </c>
      <c r="B71" s="1" t="s">
        <v>20</v>
      </c>
      <c r="C71" s="1" t="s">
        <v>21</v>
      </c>
      <c r="D71" s="1" t="s">
        <v>93</v>
      </c>
      <c r="E71" s="1" t="s">
        <v>165</v>
      </c>
      <c r="F71" s="1" t="s">
        <v>166</v>
      </c>
      <c r="G71" s="1" t="s">
        <v>24</v>
      </c>
      <c r="H71" s="1">
        <v>1.8</v>
      </c>
      <c r="I71" s="1" t="s">
        <v>104</v>
      </c>
      <c r="J71" s="1" t="s">
        <v>26</v>
      </c>
      <c r="K71" s="1" t="s">
        <v>58</v>
      </c>
      <c r="L71" s="1" t="s">
        <v>28</v>
      </c>
      <c r="M71" s="1" t="s">
        <v>29</v>
      </c>
      <c r="N71" s="1" t="s">
        <v>30</v>
      </c>
      <c r="O71" s="2">
        <v>409.0</v>
      </c>
      <c r="P71" s="2">
        <f t="shared" si="0"/>
        <v>227.222222222222</v>
      </c>
      <c r="Q71" s="3">
        <f t="shared" si="1"/>
        <v>0.124205378973104</v>
      </c>
      <c r="R71" s="2">
        <v>199.0</v>
      </c>
      <c r="S71" s="2">
        <v>185.0</v>
      </c>
    </row>
    <row r="72" ht="17.0">
      <c r="A72" s="1" t="s">
        <v>92</v>
      </c>
      <c r="B72" s="1" t="s">
        <v>20</v>
      </c>
      <c r="C72" s="1" t="s">
        <v>21</v>
      </c>
      <c r="D72" s="1" t="s">
        <v>93</v>
      </c>
      <c r="E72" s="1" t="s">
        <v>167</v>
      </c>
      <c r="F72" s="1" t="s">
        <v>168</v>
      </c>
      <c r="G72" s="1" t="s">
        <v>24</v>
      </c>
      <c r="H72" s="1">
        <v>1.8</v>
      </c>
      <c r="I72" s="1" t="s">
        <v>104</v>
      </c>
      <c r="J72" s="1" t="s">
        <v>26</v>
      </c>
      <c r="K72" s="1" t="s">
        <v>58</v>
      </c>
      <c r="L72" s="1" t="s">
        <v>59</v>
      </c>
      <c r="M72" s="1" t="s">
        <v>29</v>
      </c>
      <c r="N72" s="1" t="s">
        <v>30</v>
      </c>
      <c r="O72" s="2">
        <v>409.0</v>
      </c>
      <c r="P72" s="2">
        <f t="shared" si="0"/>
        <v>227.222222222222</v>
      </c>
      <c r="Q72" s="3">
        <f t="shared" si="1"/>
        <v>0.124205378973104</v>
      </c>
      <c r="R72" s="2">
        <v>199.0</v>
      </c>
      <c r="S72" s="2">
        <v>185.0</v>
      </c>
    </row>
    <row r="73" ht="17.0">
      <c r="A73" s="1" t="s">
        <v>19</v>
      </c>
      <c r="B73" s="1" t="s">
        <v>20</v>
      </c>
      <c r="C73" s="1" t="s">
        <v>21</v>
      </c>
      <c r="D73" s="1" t="s">
        <v>22</v>
      </c>
      <c r="E73" s="10">
        <v>5.22863279007201E14</v>
      </c>
      <c r="F73" s="1" t="s">
        <v>169</v>
      </c>
      <c r="G73" s="1" t="s">
        <v>24</v>
      </c>
      <c r="H73" s="1">
        <v>1.54</v>
      </c>
      <c r="I73" s="1" t="s">
        <v>153</v>
      </c>
      <c r="J73" s="1" t="s">
        <v>26</v>
      </c>
      <c r="K73" s="1" t="s">
        <v>27</v>
      </c>
      <c r="L73" s="1" t="s">
        <v>56</v>
      </c>
      <c r="M73" s="1" t="s">
        <v>43</v>
      </c>
      <c r="N73" s="1" t="s">
        <v>30</v>
      </c>
      <c r="O73" s="2">
        <v>389.0</v>
      </c>
      <c r="P73" s="2">
        <f t="shared" si="0"/>
        <v>252.597402597402</v>
      </c>
      <c r="Q73" s="3">
        <f t="shared" si="1"/>
        <v>0.172596401028276</v>
      </c>
      <c r="R73" s="2">
        <v>209.0</v>
      </c>
      <c r="S73" s="2">
        <v>0.0</v>
      </c>
    </row>
    <row r="74" ht="17.0">
      <c r="A74" s="1" t="s">
        <v>92</v>
      </c>
      <c r="B74" s="1" t="s">
        <v>20</v>
      </c>
      <c r="C74" s="1" t="s">
        <v>21</v>
      </c>
      <c r="D74" s="1" t="s">
        <v>93</v>
      </c>
      <c r="E74" s="1" t="s">
        <v>170</v>
      </c>
      <c r="F74" s="1" t="s">
        <v>171</v>
      </c>
      <c r="G74" s="1" t="s">
        <v>24</v>
      </c>
      <c r="H74" s="1">
        <v>1.8</v>
      </c>
      <c r="I74" s="1" t="s">
        <v>104</v>
      </c>
      <c r="J74" s="1" t="s">
        <v>26</v>
      </c>
      <c r="K74" s="1" t="s">
        <v>42</v>
      </c>
      <c r="L74" s="1" t="s">
        <v>32</v>
      </c>
      <c r="M74" s="1" t="s">
        <v>29</v>
      </c>
      <c r="N74" s="1" t="s">
        <v>30</v>
      </c>
      <c r="O74" s="2">
        <v>499.0</v>
      </c>
      <c r="P74" s="2">
        <f t="shared" si="0"/>
        <v>277.222222222222</v>
      </c>
      <c r="Q74" s="3">
        <f t="shared" si="1"/>
        <v>0.246092184368737</v>
      </c>
      <c r="R74" s="2">
        <v>209.0</v>
      </c>
      <c r="S74" s="2">
        <v>0.0</v>
      </c>
    </row>
    <row r="75" ht="17.0">
      <c r="A75" s="1" t="s">
        <v>92</v>
      </c>
      <c r="B75" s="1" t="s">
        <v>20</v>
      </c>
      <c r="C75" s="1" t="s">
        <v>21</v>
      </c>
      <c r="D75" s="1" t="s">
        <v>93</v>
      </c>
      <c r="E75" s="1" t="s">
        <v>172</v>
      </c>
      <c r="F75" s="1" t="s">
        <v>173</v>
      </c>
      <c r="G75" s="1" t="s">
        <v>24</v>
      </c>
      <c r="H75" s="1">
        <v>1.8</v>
      </c>
      <c r="I75" s="1" t="s">
        <v>104</v>
      </c>
      <c r="J75" s="1" t="s">
        <v>26</v>
      </c>
      <c r="K75" s="1" t="s">
        <v>42</v>
      </c>
      <c r="L75" s="1" t="s">
        <v>59</v>
      </c>
      <c r="M75" s="1" t="s">
        <v>29</v>
      </c>
      <c r="N75" s="1" t="s">
        <v>30</v>
      </c>
      <c r="O75" s="2">
        <v>449.0</v>
      </c>
      <c r="P75" s="2">
        <f t="shared" si="0"/>
        <v>249.444444444444</v>
      </c>
      <c r="Q75" s="3">
        <f t="shared" si="1"/>
        <v>0.202227171492203</v>
      </c>
      <c r="R75" s="2">
        <v>199.0</v>
      </c>
      <c r="S75" s="2">
        <v>185.0</v>
      </c>
    </row>
    <row r="76" ht="17.0">
      <c r="A76" s="1" t="s">
        <v>92</v>
      </c>
      <c r="B76" s="1" t="s">
        <v>20</v>
      </c>
      <c r="C76" s="1" t="s">
        <v>21</v>
      </c>
      <c r="D76" s="1" t="s">
        <v>93</v>
      </c>
      <c r="E76" s="1" t="s">
        <v>174</v>
      </c>
      <c r="F76" s="1" t="s">
        <v>175</v>
      </c>
      <c r="G76" s="1" t="s">
        <v>24</v>
      </c>
      <c r="H76" s="1">
        <v>1.8</v>
      </c>
      <c r="I76" s="1" t="s">
        <v>104</v>
      </c>
      <c r="J76" s="1" t="s">
        <v>26</v>
      </c>
      <c r="K76" s="1" t="s">
        <v>42</v>
      </c>
      <c r="L76" s="1" t="s">
        <v>97</v>
      </c>
      <c r="M76" s="1" t="s">
        <v>29</v>
      </c>
      <c r="N76" s="1" t="s">
        <v>176</v>
      </c>
      <c r="O76" s="2">
        <v>589.0</v>
      </c>
      <c r="P76" s="2">
        <f t="shared" si="0"/>
        <v>327.222222222222</v>
      </c>
      <c r="Q76" s="3">
        <f t="shared" si="1"/>
        <v>0.361290322580645</v>
      </c>
      <c r="R76" s="2">
        <v>209.0</v>
      </c>
      <c r="S76" s="2">
        <v>199.0</v>
      </c>
    </row>
    <row r="77" ht="17.0">
      <c r="A77" s="1" t="s">
        <v>92</v>
      </c>
      <c r="B77" s="1" t="s">
        <v>20</v>
      </c>
      <c r="C77" s="1" t="s">
        <v>21</v>
      </c>
      <c r="D77" s="1" t="s">
        <v>93</v>
      </c>
      <c r="E77" s="1" t="s">
        <v>177</v>
      </c>
      <c r="F77" s="1" t="s">
        <v>178</v>
      </c>
      <c r="G77" s="1" t="s">
        <v>24</v>
      </c>
      <c r="H77" s="1">
        <v>1.8</v>
      </c>
      <c r="I77" s="1" t="s">
        <v>104</v>
      </c>
      <c r="J77" s="1" t="s">
        <v>26</v>
      </c>
      <c r="K77" s="1" t="s">
        <v>42</v>
      </c>
      <c r="L77" s="1" t="s">
        <v>28</v>
      </c>
      <c r="M77" s="1" t="s">
        <v>29</v>
      </c>
      <c r="N77" s="1" t="s">
        <v>30</v>
      </c>
      <c r="O77" s="2">
        <v>499.0</v>
      </c>
      <c r="P77" s="2">
        <f t="shared" si="0"/>
        <v>277.222222222222</v>
      </c>
      <c r="Q77" s="3">
        <f t="shared" si="1"/>
        <v>0.246092184368737</v>
      </c>
      <c r="R77" s="2">
        <v>209.0</v>
      </c>
      <c r="S77" s="2">
        <v>209.0</v>
      </c>
    </row>
    <row r="78" ht="17.0">
      <c r="A78" s="1" t="s">
        <v>92</v>
      </c>
      <c r="B78" s="1" t="s">
        <v>20</v>
      </c>
      <c r="C78" s="1" t="s">
        <v>21</v>
      </c>
      <c r="D78" s="1" t="s">
        <v>93</v>
      </c>
      <c r="E78" s="1" t="s">
        <v>179</v>
      </c>
      <c r="F78" s="1" t="s">
        <v>180</v>
      </c>
      <c r="G78" s="1" t="s">
        <v>24</v>
      </c>
      <c r="H78" s="1">
        <v>1.8</v>
      </c>
      <c r="I78" s="1" t="s">
        <v>104</v>
      </c>
      <c r="J78" s="1" t="s">
        <v>26</v>
      </c>
      <c r="K78" s="1" t="s">
        <v>42</v>
      </c>
      <c r="L78" s="1" t="s">
        <v>63</v>
      </c>
      <c r="M78" s="1" t="s">
        <v>29</v>
      </c>
      <c r="N78" s="1" t="s">
        <v>30</v>
      </c>
      <c r="O78" s="2">
        <v>529.0</v>
      </c>
      <c r="P78" s="2">
        <f t="shared" si="0"/>
        <v>293.888888888889</v>
      </c>
      <c r="Q78" s="3">
        <f t="shared" si="1"/>
        <v>0.285444234404538</v>
      </c>
      <c r="R78" s="2">
        <v>210.0</v>
      </c>
      <c r="S78" s="2">
        <v>199.0</v>
      </c>
    </row>
    <row r="79" ht="17.0">
      <c r="A79" s="1" t="s">
        <v>19</v>
      </c>
      <c r="B79" s="1" t="s">
        <v>20</v>
      </c>
      <c r="C79" s="1" t="s">
        <v>21</v>
      </c>
      <c r="D79" s="1" t="s">
        <v>22</v>
      </c>
      <c r="E79" s="10">
        <v>5.21938251743151E14</v>
      </c>
      <c r="F79" s="1" t="s">
        <v>181</v>
      </c>
      <c r="G79" s="1" t="s">
        <v>24</v>
      </c>
      <c r="H79" s="1">
        <v>1.53</v>
      </c>
      <c r="I79" s="1" t="s">
        <v>147</v>
      </c>
      <c r="J79" s="1" t="s">
        <v>26</v>
      </c>
      <c r="K79" s="1" t="s">
        <v>42</v>
      </c>
      <c r="L79" s="1" t="s">
        <v>32</v>
      </c>
      <c r="M79" s="1" t="s">
        <v>29</v>
      </c>
      <c r="N79" s="1" t="s">
        <v>30</v>
      </c>
      <c r="O79" s="2">
        <v>399.0</v>
      </c>
      <c r="P79" s="2">
        <f t="shared" si="0"/>
        <v>260.78431372549</v>
      </c>
      <c r="Q79" s="3">
        <f t="shared" si="1"/>
        <v>0.160225563909774</v>
      </c>
      <c r="R79" s="2">
        <v>219.0</v>
      </c>
      <c r="S79" s="2">
        <v>0.0</v>
      </c>
    </row>
    <row r="80" ht="17.0">
      <c r="A80" s="1" t="s">
        <v>19</v>
      </c>
      <c r="B80" s="1" t="s">
        <v>20</v>
      </c>
      <c r="C80" s="1" t="s">
        <v>21</v>
      </c>
      <c r="D80" s="1" t="s">
        <v>22</v>
      </c>
      <c r="E80" s="10">
        <v>5.20090251011151E14</v>
      </c>
      <c r="F80" s="1" t="s">
        <v>182</v>
      </c>
      <c r="G80" s="1" t="s">
        <v>24</v>
      </c>
      <c r="H80" s="1">
        <v>1.53</v>
      </c>
      <c r="I80" s="1" t="s">
        <v>147</v>
      </c>
      <c r="J80" s="1" t="s">
        <v>26</v>
      </c>
      <c r="K80" s="1" t="s">
        <v>58</v>
      </c>
      <c r="L80" s="1" t="s">
        <v>32</v>
      </c>
      <c r="M80" s="1" t="s">
        <v>29</v>
      </c>
      <c r="N80" s="1" t="s">
        <v>30</v>
      </c>
      <c r="O80" s="2">
        <v>399.0</v>
      </c>
      <c r="P80" s="2">
        <f t="shared" si="0"/>
        <v>260.78431372549</v>
      </c>
      <c r="Q80" s="3">
        <f t="shared" si="1"/>
        <v>0.160225563909774</v>
      </c>
      <c r="R80" s="2">
        <v>219.0</v>
      </c>
      <c r="S80" s="2">
        <v>0.0</v>
      </c>
    </row>
    <row r="81" ht="17.0">
      <c r="A81" s="1" t="s">
        <v>19</v>
      </c>
      <c r="B81" s="1" t="s">
        <v>20</v>
      </c>
      <c r="C81" s="1" t="s">
        <v>21</v>
      </c>
      <c r="D81" s="1" t="s">
        <v>22</v>
      </c>
      <c r="E81" s="10">
        <v>5.20090251715151E14</v>
      </c>
      <c r="F81" s="1" t="s">
        <v>183</v>
      </c>
      <c r="G81" s="1" t="s">
        <v>24</v>
      </c>
      <c r="H81" s="1">
        <v>1.53</v>
      </c>
      <c r="I81" s="1" t="s">
        <v>147</v>
      </c>
      <c r="J81" s="1" t="s">
        <v>26</v>
      </c>
      <c r="K81" s="1" t="s">
        <v>58</v>
      </c>
      <c r="L81" s="1" t="s">
        <v>59</v>
      </c>
      <c r="M81" s="1" t="s">
        <v>29</v>
      </c>
      <c r="N81" s="1" t="s">
        <v>30</v>
      </c>
      <c r="O81" s="2">
        <v>399.0</v>
      </c>
      <c r="P81" s="2">
        <f t="shared" si="0"/>
        <v>260.78431372549</v>
      </c>
      <c r="Q81" s="3">
        <f t="shared" si="1"/>
        <v>0.160225563909774</v>
      </c>
      <c r="R81" s="2">
        <v>219.0</v>
      </c>
      <c r="S81" s="2">
        <v>0.0</v>
      </c>
    </row>
    <row r="82" ht="17.0">
      <c r="A82" s="1" t="s">
        <v>19</v>
      </c>
      <c r="B82" s="1" t="s">
        <v>20</v>
      </c>
      <c r="C82" s="1" t="s">
        <v>21</v>
      </c>
      <c r="D82" s="1" t="s">
        <v>22</v>
      </c>
      <c r="E82" s="10">
        <v>5.20432251011151E14</v>
      </c>
      <c r="F82" s="1" t="s">
        <v>184</v>
      </c>
      <c r="G82" s="1" t="s">
        <v>24</v>
      </c>
      <c r="H82" s="1">
        <v>1.53</v>
      </c>
      <c r="I82" s="1" t="s">
        <v>147</v>
      </c>
      <c r="J82" s="1" t="s">
        <v>26</v>
      </c>
      <c r="K82" s="1" t="s">
        <v>27</v>
      </c>
      <c r="L82" s="1" t="s">
        <v>32</v>
      </c>
      <c r="M82" s="1" t="s">
        <v>29</v>
      </c>
      <c r="N82" s="1" t="s">
        <v>30</v>
      </c>
      <c r="O82" s="2">
        <v>399.0</v>
      </c>
      <c r="P82" s="2">
        <f t="shared" si="0"/>
        <v>260.78431372549</v>
      </c>
      <c r="Q82" s="3">
        <f t="shared" si="1"/>
        <v>0.160225563909774</v>
      </c>
      <c r="R82" s="2">
        <v>219.0</v>
      </c>
      <c r="S82" s="2">
        <v>0.0</v>
      </c>
    </row>
    <row r="83" ht="17.0">
      <c r="A83" s="1" t="s">
        <v>19</v>
      </c>
      <c r="B83" s="1" t="s">
        <v>20</v>
      </c>
      <c r="C83" s="1" t="s">
        <v>21</v>
      </c>
      <c r="D83" s="1" t="s">
        <v>22</v>
      </c>
      <c r="E83" s="10">
        <v>5.20432251722151E14</v>
      </c>
      <c r="F83" s="1" t="s">
        <v>185</v>
      </c>
      <c r="G83" s="1" t="s">
        <v>24</v>
      </c>
      <c r="H83" s="1">
        <v>1.53</v>
      </c>
      <c r="I83" s="1" t="s">
        <v>147</v>
      </c>
      <c r="J83" s="1" t="s">
        <v>26</v>
      </c>
      <c r="K83" s="1" t="s">
        <v>27</v>
      </c>
      <c r="L83" s="1" t="s">
        <v>28</v>
      </c>
      <c r="M83" s="1" t="s">
        <v>29</v>
      </c>
      <c r="N83" s="1" t="s">
        <v>30</v>
      </c>
      <c r="O83" s="2">
        <v>399.0</v>
      </c>
      <c r="P83" s="2">
        <f t="shared" si="0"/>
        <v>260.78431372549</v>
      </c>
      <c r="Q83" s="3">
        <f t="shared" si="1"/>
        <v>0.160225563909774</v>
      </c>
      <c r="R83" s="2">
        <v>219.0</v>
      </c>
      <c r="S83" s="2">
        <v>0.0</v>
      </c>
    </row>
    <row r="84" ht="17.0">
      <c r="A84" s="1" t="s">
        <v>19</v>
      </c>
      <c r="B84" s="1" t="s">
        <v>20</v>
      </c>
      <c r="C84" s="1" t="s">
        <v>21</v>
      </c>
      <c r="D84" s="1" t="s">
        <v>22</v>
      </c>
      <c r="E84" s="10">
        <v>5.21172251028151E14</v>
      </c>
      <c r="F84" s="1" t="s">
        <v>186</v>
      </c>
      <c r="G84" s="1" t="s">
        <v>24</v>
      </c>
      <c r="H84" s="1">
        <v>1.53</v>
      </c>
      <c r="I84" s="1" t="s">
        <v>147</v>
      </c>
      <c r="J84" s="1" t="s">
        <v>26</v>
      </c>
      <c r="K84" s="1" t="s">
        <v>42</v>
      </c>
      <c r="L84" s="1" t="s">
        <v>28</v>
      </c>
      <c r="M84" s="1" t="s">
        <v>29</v>
      </c>
      <c r="N84" s="1" t="s">
        <v>30</v>
      </c>
      <c r="O84" s="2">
        <v>409.0</v>
      </c>
      <c r="P84" s="2">
        <f t="shared" si="0"/>
        <v>267.320261437908</v>
      </c>
      <c r="Q84" s="3">
        <f t="shared" si="1"/>
        <v>0.180757946210266</v>
      </c>
      <c r="R84" s="2">
        <v>219.0</v>
      </c>
      <c r="S84" s="2">
        <v>0.0</v>
      </c>
    </row>
    <row r="85" ht="17.0">
      <c r="A85" s="1" t="s">
        <v>19</v>
      </c>
      <c r="B85" s="1" t="s">
        <v>20</v>
      </c>
      <c r="C85" s="1" t="s">
        <v>21</v>
      </c>
      <c r="D85" s="1" t="s">
        <v>22</v>
      </c>
      <c r="E85" s="10">
        <v>5.22023251315151E14</v>
      </c>
      <c r="F85" s="1" t="s">
        <v>187</v>
      </c>
      <c r="G85" s="1" t="s">
        <v>24</v>
      </c>
      <c r="H85" s="1">
        <v>1.53</v>
      </c>
      <c r="I85" s="1" t="s">
        <v>147</v>
      </c>
      <c r="J85" s="1" t="s">
        <v>26</v>
      </c>
      <c r="K85" s="1" t="s">
        <v>42</v>
      </c>
      <c r="L85" s="1" t="s">
        <v>59</v>
      </c>
      <c r="M85" s="1" t="s">
        <v>29</v>
      </c>
      <c r="N85" s="1" t="s">
        <v>30</v>
      </c>
      <c r="O85" s="2">
        <v>399.0</v>
      </c>
      <c r="P85" s="2">
        <f t="shared" si="0"/>
        <v>260.78431372549</v>
      </c>
      <c r="Q85" s="3">
        <f t="shared" si="1"/>
        <v>0.160225563909774</v>
      </c>
      <c r="R85" s="2">
        <v>219.0</v>
      </c>
      <c r="S85" s="2">
        <v>0.0</v>
      </c>
    </row>
    <row r="86" ht="17.0">
      <c r="A86" s="1" t="s">
        <v>19</v>
      </c>
      <c r="B86" s="1" t="s">
        <v>20</v>
      </c>
      <c r="C86" s="1" t="s">
        <v>21</v>
      </c>
      <c r="D86" s="1" t="s">
        <v>22</v>
      </c>
      <c r="E86" s="10">
        <v>5.22623279010201E14</v>
      </c>
      <c r="F86" s="1" t="s">
        <v>188</v>
      </c>
      <c r="G86" s="1" t="s">
        <v>24</v>
      </c>
      <c r="H86" s="1">
        <v>1.54</v>
      </c>
      <c r="I86" s="1" t="s">
        <v>153</v>
      </c>
      <c r="J86" s="1" t="s">
        <v>26</v>
      </c>
      <c r="K86" s="1" t="s">
        <v>27</v>
      </c>
      <c r="L86" s="1" t="s">
        <v>28</v>
      </c>
      <c r="M86" s="1" t="s">
        <v>43</v>
      </c>
      <c r="N86" s="1" t="s">
        <v>30</v>
      </c>
      <c r="O86" s="2">
        <v>409.0</v>
      </c>
      <c r="P86" s="2">
        <f t="shared" si="0"/>
        <v>265.58441558441</v>
      </c>
      <c r="Q86" s="3">
        <f t="shared" si="1"/>
        <v>0.175403422982868</v>
      </c>
      <c r="R86" s="2">
        <v>219.0</v>
      </c>
      <c r="S86" s="2">
        <v>0.0</v>
      </c>
    </row>
    <row r="87" ht="17.0">
      <c r="A87" s="1" t="s">
        <v>19</v>
      </c>
      <c r="B87" s="1" t="s">
        <v>20</v>
      </c>
      <c r="C87" s="1" t="s">
        <v>21</v>
      </c>
      <c r="D87" s="1" t="s">
        <v>22</v>
      </c>
      <c r="E87" s="10" t="s">
        <v>189</v>
      </c>
      <c r="F87" s="1" t="s">
        <v>190</v>
      </c>
      <c r="G87" s="1" t="s">
        <v>24</v>
      </c>
      <c r="H87" s="1">
        <v>1.54</v>
      </c>
      <c r="I87" s="1" t="s">
        <v>153</v>
      </c>
      <c r="J87" s="1" t="s">
        <v>26</v>
      </c>
      <c r="K87" s="1" t="s">
        <v>27</v>
      </c>
      <c r="L87" s="1" t="s">
        <v>28</v>
      </c>
      <c r="M87" s="1" t="s">
        <v>43</v>
      </c>
      <c r="N87" s="1" t="s">
        <v>30</v>
      </c>
      <c r="O87" s="2">
        <v>409.0</v>
      </c>
      <c r="P87" s="2">
        <f t="shared" si="0"/>
        <v>265.58441558441</v>
      </c>
      <c r="Q87" s="3">
        <f t="shared" si="1"/>
        <v>0.175403422982868</v>
      </c>
      <c r="R87" s="2">
        <v>219.0</v>
      </c>
      <c r="S87" s="2">
        <v>0.0</v>
      </c>
    </row>
    <row r="88" ht="17.0">
      <c r="A88" s="1" t="s">
        <v>19</v>
      </c>
      <c r="B88" s="1" t="s">
        <v>20</v>
      </c>
      <c r="C88" s="1" t="s">
        <v>21</v>
      </c>
      <c r="D88" s="1" t="s">
        <v>22</v>
      </c>
      <c r="E88" s="10">
        <v>5.22786279292201E14</v>
      </c>
      <c r="F88" s="1" t="s">
        <v>191</v>
      </c>
      <c r="G88" s="1" t="s">
        <v>24</v>
      </c>
      <c r="H88" s="1">
        <v>1.54</v>
      </c>
      <c r="I88" s="1" t="s">
        <v>153</v>
      </c>
      <c r="J88" s="1" t="s">
        <v>26</v>
      </c>
      <c r="K88" s="1" t="s">
        <v>27</v>
      </c>
      <c r="L88" s="1" t="s">
        <v>32</v>
      </c>
      <c r="M88" s="1" t="s">
        <v>43</v>
      </c>
      <c r="N88" s="1" t="s">
        <v>30</v>
      </c>
      <c r="O88" s="2">
        <v>409.0</v>
      </c>
      <c r="P88" s="2">
        <f t="shared" si="0"/>
        <v>265.58441558441</v>
      </c>
      <c r="Q88" s="3">
        <f t="shared" si="1"/>
        <v>0.175403422982868</v>
      </c>
      <c r="R88" s="2">
        <v>219.0</v>
      </c>
      <c r="S88" s="2">
        <v>0.0</v>
      </c>
    </row>
    <row r="89" ht="17.0">
      <c r="A89" s="1" t="s">
        <v>19</v>
      </c>
      <c r="B89" s="1" t="s">
        <v>20</v>
      </c>
      <c r="C89" s="1" t="s">
        <v>21</v>
      </c>
      <c r="D89" s="1" t="s">
        <v>22</v>
      </c>
      <c r="E89" s="10">
        <v>5.22786279669201E14</v>
      </c>
      <c r="F89" s="1" t="s">
        <v>192</v>
      </c>
      <c r="G89" s="1" t="s">
        <v>24</v>
      </c>
      <c r="H89" s="1">
        <v>1.54</v>
      </c>
      <c r="I89" s="1" t="s">
        <v>193</v>
      </c>
      <c r="J89" s="1" t="s">
        <v>26</v>
      </c>
      <c r="K89" s="1" t="s">
        <v>27</v>
      </c>
      <c r="L89" s="1" t="s">
        <v>56</v>
      </c>
      <c r="M89" s="1" t="s">
        <v>43</v>
      </c>
      <c r="N89" s="1" t="s">
        <v>30</v>
      </c>
      <c r="O89" s="2">
        <v>409.0</v>
      </c>
      <c r="P89" s="2">
        <f t="shared" si="0"/>
        <v>265.58441558441</v>
      </c>
      <c r="Q89" s="3">
        <f t="shared" si="1"/>
        <v>0.175403422982868</v>
      </c>
      <c r="R89" s="2">
        <v>219.0</v>
      </c>
      <c r="S89" s="2">
        <v>0.0</v>
      </c>
    </row>
    <row r="90" ht="17.0">
      <c r="A90" s="1" t="s">
        <v>19</v>
      </c>
      <c r="B90" s="1" t="s">
        <v>20</v>
      </c>
      <c r="C90" s="1" t="s">
        <v>21</v>
      </c>
      <c r="D90" s="1" t="s">
        <v>22</v>
      </c>
      <c r="E90" s="10">
        <v>5.21957143683011E14</v>
      </c>
      <c r="F90" s="1" t="s">
        <v>194</v>
      </c>
      <c r="G90" s="1" t="s">
        <v>24</v>
      </c>
      <c r="H90" s="1">
        <v>1.83</v>
      </c>
      <c r="I90" s="1" t="s">
        <v>83</v>
      </c>
      <c r="J90" s="1" t="s">
        <v>26</v>
      </c>
      <c r="K90" s="1" t="s">
        <v>195</v>
      </c>
      <c r="L90" s="1" t="s">
        <v>32</v>
      </c>
      <c r="M90" s="1" t="s">
        <v>29</v>
      </c>
      <c r="N90" s="1" t="s">
        <v>30</v>
      </c>
      <c r="O90" s="2">
        <v>479.0</v>
      </c>
      <c r="P90" s="2">
        <f t="shared" si="0"/>
        <v>261.748633879781</v>
      </c>
      <c r="Q90" s="3">
        <f t="shared" si="1"/>
        <v>0.163319415448848</v>
      </c>
      <c r="R90" s="2">
        <v>219.0</v>
      </c>
      <c r="S90" s="2">
        <v>0.0</v>
      </c>
    </row>
    <row r="91" ht="17.0">
      <c r="A91" s="1" t="s">
        <v>19</v>
      </c>
      <c r="B91" s="1" t="s">
        <v>20</v>
      </c>
      <c r="C91" s="1" t="s">
        <v>21</v>
      </c>
      <c r="D91" s="1" t="s">
        <v>22</v>
      </c>
      <c r="E91" s="10">
        <v>5.21817143007011E14</v>
      </c>
      <c r="F91" s="1" t="s">
        <v>196</v>
      </c>
      <c r="G91" s="1" t="s">
        <v>24</v>
      </c>
      <c r="H91" s="1">
        <v>1.83</v>
      </c>
      <c r="I91" s="1" t="s">
        <v>83</v>
      </c>
      <c r="K91" s="1" t="s">
        <v>27</v>
      </c>
      <c r="L91" s="1" t="s">
        <v>56</v>
      </c>
      <c r="M91" s="1" t="s">
        <v>29</v>
      </c>
      <c r="N91" s="1" t="s">
        <v>30</v>
      </c>
      <c r="O91" s="2">
        <v>489.0</v>
      </c>
      <c r="P91" s="2">
        <f t="shared" si="0"/>
        <v>267.213114754098</v>
      </c>
      <c r="Q91" s="3">
        <f t="shared" si="1"/>
        <v>0.18042944785276</v>
      </c>
      <c r="R91" s="2">
        <v>219.0</v>
      </c>
      <c r="S91" s="2">
        <v>0.0</v>
      </c>
    </row>
    <row r="92" ht="17.0">
      <c r="A92" s="1" t="s">
        <v>92</v>
      </c>
      <c r="B92" s="1" t="s">
        <v>20</v>
      </c>
      <c r="C92" s="1" t="s">
        <v>21</v>
      </c>
      <c r="D92" s="1" t="s">
        <v>93</v>
      </c>
      <c r="E92" s="1" t="s">
        <v>197</v>
      </c>
      <c r="F92" s="1" t="s">
        <v>198</v>
      </c>
      <c r="G92" s="1" t="s">
        <v>24</v>
      </c>
      <c r="H92" s="1">
        <v>1.8</v>
      </c>
      <c r="I92" s="1" t="s">
        <v>104</v>
      </c>
      <c r="J92" s="1" t="s">
        <v>26</v>
      </c>
      <c r="K92" s="1" t="s">
        <v>195</v>
      </c>
      <c r="L92" s="1" t="s">
        <v>28</v>
      </c>
      <c r="M92" s="1" t="s">
        <v>29</v>
      </c>
      <c r="N92" s="1" t="s">
        <v>30</v>
      </c>
      <c r="O92" s="2">
        <v>499.0</v>
      </c>
      <c r="P92" s="2">
        <f t="shared" si="0"/>
        <v>277.222222222222</v>
      </c>
      <c r="Q92" s="3">
        <f t="shared" si="1"/>
        <v>0.210020040080158</v>
      </c>
      <c r="R92" s="2">
        <v>219.0</v>
      </c>
      <c r="S92" s="2">
        <v>205.0</v>
      </c>
    </row>
    <row r="93" ht="17.0">
      <c r="A93" s="1" t="s">
        <v>19</v>
      </c>
      <c r="B93" s="1" t="s">
        <v>20</v>
      </c>
      <c r="C93" s="1" t="s">
        <v>21</v>
      </c>
      <c r="D93" s="1" t="s">
        <v>22</v>
      </c>
      <c r="E93" s="10">
        <v>5.22125413779351E14</v>
      </c>
      <c r="F93" s="1" t="s">
        <v>199</v>
      </c>
      <c r="G93" s="1" t="s">
        <v>24</v>
      </c>
      <c r="H93" s="1">
        <v>1.64</v>
      </c>
      <c r="I93" s="1" t="s">
        <v>69</v>
      </c>
      <c r="J93" s="1" t="s">
        <v>26</v>
      </c>
      <c r="K93" s="1" t="s">
        <v>58</v>
      </c>
      <c r="L93" s="1" t="s">
        <v>28</v>
      </c>
      <c r="M93" s="1" t="s">
        <v>29</v>
      </c>
      <c r="N93" s="1" t="s">
        <v>30</v>
      </c>
      <c r="O93" s="2">
        <v>449.0</v>
      </c>
      <c r="P93" s="2">
        <f t="shared" si="0"/>
        <v>273.780487804878</v>
      </c>
      <c r="Q93" s="3">
        <f t="shared" si="1"/>
        <v>0.163563474387528</v>
      </c>
      <c r="R93" s="2">
        <v>229.0</v>
      </c>
      <c r="S93" s="2">
        <v>0.0</v>
      </c>
    </row>
    <row r="94" ht="17.0">
      <c r="A94" s="1" t="s">
        <v>19</v>
      </c>
      <c r="B94" s="1" t="s">
        <v>20</v>
      </c>
      <c r="C94" s="1" t="s">
        <v>21</v>
      </c>
      <c r="D94" s="1" t="s">
        <v>22</v>
      </c>
      <c r="E94" s="10">
        <v>5.22125413778351E14</v>
      </c>
      <c r="F94" s="1" t="s">
        <v>200</v>
      </c>
      <c r="G94" s="1" t="s">
        <v>24</v>
      </c>
      <c r="H94" s="1">
        <v>1.64</v>
      </c>
      <c r="I94" s="1" t="s">
        <v>69</v>
      </c>
      <c r="J94" s="1" t="s">
        <v>26</v>
      </c>
      <c r="K94" s="1" t="s">
        <v>58</v>
      </c>
      <c r="L94" s="1" t="s">
        <v>28</v>
      </c>
      <c r="M94" s="1" t="s">
        <v>29</v>
      </c>
      <c r="N94" s="1" t="s">
        <v>30</v>
      </c>
      <c r="O94" s="2">
        <v>449.0</v>
      </c>
      <c r="P94" s="2">
        <f t="shared" si="0"/>
        <v>273.780487804878</v>
      </c>
      <c r="Q94" s="3">
        <f t="shared" si="1"/>
        <v>0.163563474387528</v>
      </c>
      <c r="R94" s="2">
        <v>229.0</v>
      </c>
      <c r="S94" s="2">
        <v>0.0</v>
      </c>
    </row>
    <row r="95" ht="17.0">
      <c r="A95" s="1" t="s">
        <v>19</v>
      </c>
      <c r="B95" s="1" t="s">
        <v>20</v>
      </c>
      <c r="C95" s="1" t="s">
        <v>21</v>
      </c>
      <c r="D95" s="1" t="s">
        <v>22</v>
      </c>
      <c r="E95" s="10">
        <v>5.20721428007031E14</v>
      </c>
      <c r="F95" s="1" t="s">
        <v>201</v>
      </c>
      <c r="G95" s="1" t="s">
        <v>24</v>
      </c>
      <c r="H95" s="1">
        <v>1.79</v>
      </c>
      <c r="I95" s="1" t="s">
        <v>202</v>
      </c>
      <c r="J95" s="1" t="s">
        <v>26</v>
      </c>
      <c r="K95" s="1" t="s">
        <v>61</v>
      </c>
      <c r="L95" s="1" t="s">
        <v>56</v>
      </c>
      <c r="M95" s="1" t="s">
        <v>43</v>
      </c>
      <c r="N95" s="1" t="s">
        <v>30</v>
      </c>
      <c r="O95" s="2">
        <v>499.0</v>
      </c>
      <c r="P95" s="2">
        <f t="shared" si="0"/>
        <v>278.77094972067</v>
      </c>
      <c r="Q95" s="3">
        <f t="shared" si="1"/>
        <v>0.178537074148296</v>
      </c>
      <c r="R95" s="2">
        <v>229.0</v>
      </c>
      <c r="S95" s="2">
        <v>0.0</v>
      </c>
    </row>
    <row r="96" ht="17.0">
      <c r="A96" s="1" t="s">
        <v>19</v>
      </c>
      <c r="B96" s="1" t="s">
        <v>20</v>
      </c>
      <c r="C96" s="1" t="s">
        <v>21</v>
      </c>
      <c r="D96" s="1" t="s">
        <v>22</v>
      </c>
      <c r="E96" s="10">
        <v>5.22785143478011E14</v>
      </c>
      <c r="F96" s="1" t="s">
        <v>203</v>
      </c>
      <c r="G96" s="1" t="s">
        <v>24</v>
      </c>
      <c r="H96" s="1">
        <v>1.83</v>
      </c>
      <c r="I96" s="1" t="s">
        <v>83</v>
      </c>
      <c r="J96" s="1" t="s">
        <v>26</v>
      </c>
      <c r="K96" s="1" t="s">
        <v>27</v>
      </c>
      <c r="L96" s="1" t="s">
        <v>32</v>
      </c>
      <c r="M96" s="1" t="s">
        <v>43</v>
      </c>
      <c r="N96" s="1" t="s">
        <v>30</v>
      </c>
      <c r="O96" s="2">
        <v>509.0</v>
      </c>
      <c r="P96" s="2">
        <f t="shared" si="0"/>
        <v>278.142076502732</v>
      </c>
      <c r="Q96" s="3">
        <f t="shared" si="1"/>
        <v>0.176679764243613</v>
      </c>
      <c r="R96" s="2">
        <v>229.0</v>
      </c>
      <c r="S96" s="2">
        <v>0.0</v>
      </c>
    </row>
    <row r="97" ht="17.0">
      <c r="A97" s="1" t="s">
        <v>19</v>
      </c>
      <c r="B97" s="1" t="s">
        <v>20</v>
      </c>
      <c r="C97" s="1" t="s">
        <v>21</v>
      </c>
      <c r="D97" s="1" t="s">
        <v>22</v>
      </c>
      <c r="E97" s="10">
        <v>5.22785143912011E14</v>
      </c>
      <c r="F97" s="1" t="s">
        <v>204</v>
      </c>
      <c r="G97" s="1" t="s">
        <v>24</v>
      </c>
      <c r="H97" s="1">
        <v>1.83</v>
      </c>
      <c r="I97" s="1" t="s">
        <v>83</v>
      </c>
      <c r="J97" s="1" t="s">
        <v>26</v>
      </c>
      <c r="K97" s="1" t="s">
        <v>27</v>
      </c>
      <c r="L97" s="1" t="s">
        <v>56</v>
      </c>
      <c r="M97" s="1" t="s">
        <v>43</v>
      </c>
      <c r="N97" s="1" t="s">
        <v>30</v>
      </c>
      <c r="O97" s="2">
        <v>509.0</v>
      </c>
      <c r="P97" s="2">
        <f t="shared" si="0"/>
        <v>278.142076502732</v>
      </c>
      <c r="Q97" s="3">
        <f t="shared" si="1"/>
        <v>0.176679764243613</v>
      </c>
      <c r="R97" s="2">
        <v>229.0</v>
      </c>
      <c r="S97" s="2">
        <v>0.0</v>
      </c>
    </row>
    <row r="98" ht="17.0">
      <c r="A98" s="1" t="s">
        <v>19</v>
      </c>
      <c r="B98" s="1" t="s">
        <v>20</v>
      </c>
      <c r="C98" s="1" t="s">
        <v>21</v>
      </c>
      <c r="D98" s="1" t="s">
        <v>22</v>
      </c>
      <c r="E98" s="10">
        <v>5.22901143016011E14</v>
      </c>
      <c r="F98" s="1" t="s">
        <v>205</v>
      </c>
      <c r="G98" s="1" t="s">
        <v>24</v>
      </c>
      <c r="H98" s="1">
        <v>1.83</v>
      </c>
      <c r="I98" s="1" t="s">
        <v>83</v>
      </c>
      <c r="J98" s="1" t="s">
        <v>26</v>
      </c>
      <c r="K98" s="1" t="s">
        <v>27</v>
      </c>
      <c r="L98" s="1" t="s">
        <v>63</v>
      </c>
      <c r="M98" s="1" t="s">
        <v>43</v>
      </c>
      <c r="N98" s="1" t="s">
        <v>30</v>
      </c>
      <c r="O98" s="2">
        <v>529.0</v>
      </c>
      <c r="P98" s="2">
        <f t="shared" si="0"/>
        <v>289.071038251366</v>
      </c>
      <c r="Q98" s="3">
        <f t="shared" si="1"/>
        <v>0.207807183364839</v>
      </c>
      <c r="R98" s="2">
        <v>229.0</v>
      </c>
      <c r="S98" s="2">
        <v>0.0</v>
      </c>
    </row>
    <row r="99" ht="17.0">
      <c r="A99" s="1" t="s">
        <v>19</v>
      </c>
      <c r="B99" s="1" t="s">
        <v>20</v>
      </c>
      <c r="C99" s="1" t="s">
        <v>21</v>
      </c>
      <c r="D99" s="1" t="s">
        <v>22</v>
      </c>
      <c r="E99" s="10">
        <v>5.22837260016271E14</v>
      </c>
      <c r="F99" s="1" t="s">
        <v>206</v>
      </c>
      <c r="G99" s="1" t="s">
        <v>24</v>
      </c>
      <c r="H99" s="1">
        <v>1.44</v>
      </c>
      <c r="I99" s="1" t="s">
        <v>207</v>
      </c>
      <c r="J99" s="1" t="s">
        <v>208</v>
      </c>
      <c r="K99" s="1" t="s">
        <v>27</v>
      </c>
      <c r="L99" s="1" t="s">
        <v>63</v>
      </c>
      <c r="M99" s="1" t="s">
        <v>209</v>
      </c>
      <c r="N99" s="1" t="s">
        <v>99</v>
      </c>
      <c r="O99" s="2">
        <v>779.0</v>
      </c>
      <c r="P99" s="2">
        <f t="shared" si="0"/>
        <v>540.972222222222</v>
      </c>
      <c r="Q99" s="3">
        <f t="shared" si="1"/>
        <v>0.188498074454429</v>
      </c>
      <c r="R99" s="2">
        <v>439.0</v>
      </c>
      <c r="S99" s="2">
        <v>0.0</v>
      </c>
    </row>
    <row r="100" ht="17.0">
      <c r="A100" s="1" t="s">
        <v>19</v>
      </c>
      <c r="B100" s="1" t="s">
        <v>20</v>
      </c>
      <c r="C100" s="1" t="s">
        <v>21</v>
      </c>
      <c r="D100" s="1" t="s">
        <v>22</v>
      </c>
      <c r="E100" s="10">
        <v>5.22785417026201E14</v>
      </c>
      <c r="F100" s="1" t="s">
        <v>210</v>
      </c>
      <c r="G100" s="1" t="s">
        <v>24</v>
      </c>
      <c r="H100" s="1">
        <v>1.83</v>
      </c>
      <c r="I100" s="1" t="s">
        <v>211</v>
      </c>
      <c r="J100" s="1" t="s">
        <v>26</v>
      </c>
      <c r="K100" s="1" t="s">
        <v>27</v>
      </c>
      <c r="L100" s="1" t="s">
        <v>28</v>
      </c>
      <c r="M100" s="1" t="s">
        <v>43</v>
      </c>
      <c r="N100" s="1" t="s">
        <v>30</v>
      </c>
      <c r="O100" s="2">
        <v>509.0</v>
      </c>
      <c r="P100" s="2">
        <f t="shared" si="0"/>
        <v>278.142076502732</v>
      </c>
      <c r="Q100" s="3">
        <f t="shared" si="1"/>
        <v>0.176679764243613</v>
      </c>
      <c r="R100" s="2">
        <v>229.0</v>
      </c>
      <c r="S100" s="2">
        <v>199.0</v>
      </c>
    </row>
    <row r="101" ht="17.0">
      <c r="A101" s="1" t="s">
        <v>19</v>
      </c>
      <c r="B101" s="1" t="s">
        <v>20</v>
      </c>
      <c r="C101" s="1" t="s">
        <v>21</v>
      </c>
      <c r="D101" s="1" t="s">
        <v>22</v>
      </c>
      <c r="E101" s="10">
        <v>5.22785417912201E14</v>
      </c>
      <c r="F101" s="1" t="s">
        <v>212</v>
      </c>
      <c r="G101" s="1" t="s">
        <v>24</v>
      </c>
      <c r="H101" s="1">
        <v>1.93</v>
      </c>
      <c r="I101" s="1" t="s">
        <v>211</v>
      </c>
      <c r="J101" s="1" t="s">
        <v>26</v>
      </c>
      <c r="K101" s="1" t="s">
        <v>27</v>
      </c>
      <c r="L101" s="1" t="s">
        <v>56</v>
      </c>
      <c r="M101" s="1" t="s">
        <v>43</v>
      </c>
      <c r="N101" s="1" t="s">
        <v>30</v>
      </c>
      <c r="O101" s="2">
        <v>529.0</v>
      </c>
      <c r="P101" s="2">
        <f t="shared" si="0"/>
        <v>274.093264248704</v>
      </c>
      <c r="Q101" s="3">
        <f t="shared" si="1"/>
        <v>0.164517958412097</v>
      </c>
      <c r="R101" s="2">
        <v>229.0</v>
      </c>
      <c r="S101" s="2">
        <v>0.0</v>
      </c>
    </row>
    <row r="102" ht="17.0">
      <c r="A102" s="1" t="s">
        <v>92</v>
      </c>
      <c r="B102" s="1" t="s">
        <v>20</v>
      </c>
      <c r="C102" s="1" t="s">
        <v>21</v>
      </c>
      <c r="D102" s="1" t="s">
        <v>93</v>
      </c>
      <c r="E102" s="1" t="s">
        <v>213</v>
      </c>
      <c r="F102" s="1" t="s">
        <v>214</v>
      </c>
      <c r="G102" s="1" t="s">
        <v>24</v>
      </c>
      <c r="H102" s="1">
        <v>1.8</v>
      </c>
      <c r="I102" s="1" t="s">
        <v>104</v>
      </c>
      <c r="J102" s="1" t="s">
        <v>26</v>
      </c>
      <c r="K102" s="1" t="s">
        <v>27</v>
      </c>
      <c r="L102" s="1" t="s">
        <v>97</v>
      </c>
      <c r="M102" s="1" t="s">
        <v>215</v>
      </c>
      <c r="N102" s="1" t="s">
        <v>30</v>
      </c>
      <c r="O102" s="2">
        <v>529.0</v>
      </c>
      <c r="P102" s="2">
        <f t="shared" si="0"/>
        <v>293.888888888889</v>
      </c>
      <c r="Q102" s="3">
        <f t="shared" si="1"/>
        <v>0.220793950850662</v>
      </c>
      <c r="R102" s="2">
        <v>229.0</v>
      </c>
      <c r="S102" s="2">
        <v>206.0</v>
      </c>
    </row>
    <row r="103" ht="17.0">
      <c r="A103" s="1" t="s">
        <v>92</v>
      </c>
      <c r="B103" s="1" t="s">
        <v>20</v>
      </c>
      <c r="C103" s="1" t="s">
        <v>21</v>
      </c>
      <c r="D103" s="1" t="s">
        <v>93</v>
      </c>
      <c r="E103" s="1" t="s">
        <v>216</v>
      </c>
      <c r="F103" s="1" t="s">
        <v>217</v>
      </c>
      <c r="G103" s="1" t="s">
        <v>24</v>
      </c>
      <c r="H103" s="1">
        <v>1.8</v>
      </c>
      <c r="I103" s="1" t="s">
        <v>104</v>
      </c>
      <c r="J103" s="1" t="s">
        <v>26</v>
      </c>
      <c r="K103" s="1" t="s">
        <v>42</v>
      </c>
      <c r="L103" s="1" t="s">
        <v>32</v>
      </c>
      <c r="M103" s="1" t="s">
        <v>29</v>
      </c>
      <c r="N103" s="1" t="s">
        <v>30</v>
      </c>
      <c r="O103" s="2">
        <v>499.0</v>
      </c>
      <c r="P103" s="2">
        <f t="shared" si="0"/>
        <v>277.222222222222</v>
      </c>
      <c r="Q103" s="3">
        <f t="shared" si="1"/>
        <v>0.173947895791581</v>
      </c>
      <c r="R103" s="2">
        <v>229.0</v>
      </c>
      <c r="S103" s="2">
        <v>209.0</v>
      </c>
    </row>
    <row r="104" ht="17.0">
      <c r="A104" s="1" t="s">
        <v>92</v>
      </c>
      <c r="B104" s="1" t="s">
        <v>20</v>
      </c>
      <c r="C104" s="1" t="s">
        <v>21</v>
      </c>
      <c r="D104" s="1" t="s">
        <v>93</v>
      </c>
      <c r="E104" s="1" t="s">
        <v>218</v>
      </c>
      <c r="F104" s="1" t="s">
        <v>219</v>
      </c>
      <c r="G104" s="1" t="s">
        <v>24</v>
      </c>
      <c r="H104" s="1">
        <v>1.8</v>
      </c>
      <c r="I104" s="1" t="s">
        <v>104</v>
      </c>
      <c r="J104" s="1" t="s">
        <v>26</v>
      </c>
      <c r="K104" s="1" t="s">
        <v>42</v>
      </c>
      <c r="L104" s="1" t="s">
        <v>32</v>
      </c>
      <c r="M104" s="1" t="s">
        <v>220</v>
      </c>
      <c r="N104" s="1" t="s">
        <v>30</v>
      </c>
      <c r="O104" s="2">
        <v>529.0</v>
      </c>
      <c r="P104" s="2">
        <f t="shared" si="0"/>
        <v>293.888888888889</v>
      </c>
      <c r="Q104" s="3">
        <f t="shared" si="1"/>
        <v>0.220793950850662</v>
      </c>
      <c r="R104" s="2">
        <v>229.0</v>
      </c>
      <c r="S104" s="2">
        <v>215.0</v>
      </c>
    </row>
    <row r="105" ht="17.0">
      <c r="A105" s="1" t="s">
        <v>45</v>
      </c>
      <c r="B105" s="1" t="s">
        <v>20</v>
      </c>
      <c r="C105" s="1" t="s">
        <v>21</v>
      </c>
      <c r="D105" s="1" t="s">
        <v>46</v>
      </c>
      <c r="E105" s="1" t="s">
        <v>221</v>
      </c>
      <c r="F105" s="1" t="s">
        <v>222</v>
      </c>
      <c r="G105" s="1" t="s">
        <v>24</v>
      </c>
      <c r="H105" s="1">
        <v>1.44</v>
      </c>
      <c r="I105" s="1" t="s">
        <v>223</v>
      </c>
      <c r="J105" s="1" t="s">
        <v>26</v>
      </c>
      <c r="K105" s="1" t="s">
        <v>42</v>
      </c>
      <c r="L105" s="1" t="s">
        <v>28</v>
      </c>
      <c r="M105" s="1" t="s">
        <v>29</v>
      </c>
      <c r="N105" s="1" t="s">
        <v>99</v>
      </c>
      <c r="O105" s="2">
        <v>569.0</v>
      </c>
      <c r="P105" s="2">
        <f t="shared" si="0"/>
        <v>395.138888888889</v>
      </c>
      <c r="Q105" s="3">
        <f t="shared" si="1"/>
        <v>0.420456942003516</v>
      </c>
      <c r="R105" s="2">
        <v>229.0</v>
      </c>
      <c r="S105" s="2">
        <f t="shared" ref="S105:S112" si="6">R105-10</f>
        <v>219.0</v>
      </c>
    </row>
    <row r="106" ht="17.0">
      <c r="A106" s="1" t="s">
        <v>45</v>
      </c>
      <c r="B106" s="1" t="s">
        <v>20</v>
      </c>
      <c r="C106" s="1" t="s">
        <v>21</v>
      </c>
      <c r="D106" s="1" t="s">
        <v>46</v>
      </c>
      <c r="E106" s="1" t="s">
        <v>224</v>
      </c>
      <c r="F106" s="1" t="s">
        <v>225</v>
      </c>
      <c r="G106" s="1" t="s">
        <v>24</v>
      </c>
      <c r="H106" s="1">
        <v>2.11</v>
      </c>
      <c r="I106" s="1" t="s">
        <v>25</v>
      </c>
      <c r="J106" s="1" t="s">
        <v>26</v>
      </c>
      <c r="K106" s="1" t="s">
        <v>226</v>
      </c>
      <c r="L106" s="1" t="s">
        <v>63</v>
      </c>
      <c r="M106" s="1" t="s">
        <v>29</v>
      </c>
      <c r="N106" s="1" t="s">
        <v>30</v>
      </c>
      <c r="O106" s="2">
        <v>559.0</v>
      </c>
      <c r="P106" s="2">
        <f t="shared" si="0"/>
        <v>264.928909952607</v>
      </c>
      <c r="Q106" s="3">
        <f t="shared" si="1"/>
        <v>0.135617173524151</v>
      </c>
      <c r="R106" s="2">
        <v>229.0</v>
      </c>
      <c r="S106" s="2">
        <f t="shared" si="6"/>
        <v>219.0</v>
      </c>
    </row>
    <row r="107" ht="17.0">
      <c r="A107" s="1" t="s">
        <v>45</v>
      </c>
      <c r="B107" s="1" t="s">
        <v>20</v>
      </c>
      <c r="C107" s="1" t="s">
        <v>21</v>
      </c>
      <c r="D107" s="1" t="s">
        <v>46</v>
      </c>
      <c r="E107" s="1" t="s">
        <v>227</v>
      </c>
      <c r="F107" s="1" t="s">
        <v>228</v>
      </c>
      <c r="G107" s="1" t="s">
        <v>24</v>
      </c>
      <c r="H107" s="1">
        <v>2.11</v>
      </c>
      <c r="I107" s="1" t="s">
        <v>25</v>
      </c>
      <c r="J107" s="1" t="s">
        <v>26</v>
      </c>
      <c r="K107" s="1" t="s">
        <v>61</v>
      </c>
      <c r="L107" s="1" t="s">
        <v>32</v>
      </c>
      <c r="M107" s="1" t="s">
        <v>29</v>
      </c>
      <c r="N107" s="1" t="s">
        <v>30</v>
      </c>
      <c r="O107" s="2">
        <v>559.0</v>
      </c>
      <c r="P107" s="2">
        <f t="shared" si="0"/>
        <v>264.928909952607</v>
      </c>
      <c r="Q107" s="3">
        <f t="shared" si="1"/>
        <v>0.135617173524151</v>
      </c>
      <c r="R107" s="2">
        <v>229.0</v>
      </c>
      <c r="S107" s="2">
        <f t="shared" si="6"/>
        <v>219.0</v>
      </c>
    </row>
    <row r="108" ht="17.0">
      <c r="A108" s="1" t="s">
        <v>45</v>
      </c>
      <c r="B108" s="1" t="s">
        <v>20</v>
      </c>
      <c r="C108" s="1" t="s">
        <v>21</v>
      </c>
      <c r="D108" s="1" t="s">
        <v>46</v>
      </c>
      <c r="E108" s="1" t="s">
        <v>229</v>
      </c>
      <c r="F108" s="1" t="s">
        <v>230</v>
      </c>
      <c r="G108" s="1" t="s">
        <v>24</v>
      </c>
      <c r="H108" s="1">
        <v>2.11</v>
      </c>
      <c r="I108" s="1" t="s">
        <v>25</v>
      </c>
      <c r="J108" s="1" t="s">
        <v>26</v>
      </c>
      <c r="K108" s="1" t="s">
        <v>61</v>
      </c>
      <c r="L108" s="1" t="s">
        <v>231</v>
      </c>
      <c r="M108" s="1" t="s">
        <v>29</v>
      </c>
      <c r="N108" s="1" t="s">
        <v>30</v>
      </c>
      <c r="O108" s="2">
        <v>559.0</v>
      </c>
      <c r="P108" s="2">
        <f t="shared" si="0"/>
        <v>264.928909952607</v>
      </c>
      <c r="Q108" s="3">
        <f t="shared" si="1"/>
        <v>0.135617173524151</v>
      </c>
      <c r="R108" s="2">
        <v>229.0</v>
      </c>
      <c r="S108" s="2">
        <f t="shared" si="6"/>
        <v>219.0</v>
      </c>
    </row>
    <row r="109" ht="17.0">
      <c r="A109" s="1" t="s">
        <v>45</v>
      </c>
      <c r="B109" s="1" t="s">
        <v>20</v>
      </c>
      <c r="C109" s="1" t="s">
        <v>21</v>
      </c>
      <c r="D109" s="1" t="s">
        <v>46</v>
      </c>
      <c r="E109" s="1" t="s">
        <v>232</v>
      </c>
      <c r="F109" s="1" t="s">
        <v>233</v>
      </c>
      <c r="G109" s="1" t="s">
        <v>24</v>
      </c>
      <c r="H109" s="1">
        <v>2.11</v>
      </c>
      <c r="I109" s="1" t="s">
        <v>25</v>
      </c>
      <c r="J109" s="1" t="s">
        <v>26</v>
      </c>
      <c r="K109" s="1" t="s">
        <v>226</v>
      </c>
      <c r="L109" s="1" t="s">
        <v>234</v>
      </c>
      <c r="M109" s="1" t="s">
        <v>29</v>
      </c>
      <c r="N109" s="1" t="s">
        <v>30</v>
      </c>
      <c r="O109" s="2">
        <v>559.0</v>
      </c>
      <c r="P109" s="2">
        <f t="shared" si="0"/>
        <v>264.928909952607</v>
      </c>
      <c r="Q109" s="3">
        <f t="shared" si="1"/>
        <v>0.135617173524151</v>
      </c>
      <c r="R109" s="2">
        <v>229.0</v>
      </c>
      <c r="S109" s="2">
        <f t="shared" si="6"/>
        <v>219.0</v>
      </c>
    </row>
    <row r="110" ht="17.0">
      <c r="A110" s="1" t="s">
        <v>45</v>
      </c>
      <c r="B110" s="1" t="s">
        <v>20</v>
      </c>
      <c r="C110" s="1" t="s">
        <v>21</v>
      </c>
      <c r="D110" s="1" t="s">
        <v>46</v>
      </c>
      <c r="E110" s="1" t="s">
        <v>235</v>
      </c>
      <c r="F110" s="1" t="s">
        <v>236</v>
      </c>
      <c r="G110" s="1" t="s">
        <v>24</v>
      </c>
      <c r="H110" s="1">
        <v>2.11</v>
      </c>
      <c r="I110" s="1" t="s">
        <v>25</v>
      </c>
      <c r="J110" s="1" t="s">
        <v>26</v>
      </c>
      <c r="K110" s="1" t="s">
        <v>226</v>
      </c>
      <c r="L110" s="1" t="s">
        <v>234</v>
      </c>
      <c r="M110" s="1" t="s">
        <v>29</v>
      </c>
      <c r="N110" s="1" t="s">
        <v>30</v>
      </c>
      <c r="O110" s="2">
        <v>559.0</v>
      </c>
      <c r="P110" s="2">
        <f t="shared" si="0"/>
        <v>264.928909952607</v>
      </c>
      <c r="Q110" s="3">
        <f t="shared" si="1"/>
        <v>0.135617173524151</v>
      </c>
      <c r="R110" s="2">
        <v>229.0</v>
      </c>
      <c r="S110" s="2">
        <f t="shared" si="6"/>
        <v>219.0</v>
      </c>
    </row>
    <row r="111" ht="17.0">
      <c r="A111" s="1" t="s">
        <v>45</v>
      </c>
      <c r="B111" s="1" t="s">
        <v>20</v>
      </c>
      <c r="C111" s="1" t="s">
        <v>21</v>
      </c>
      <c r="D111" s="1" t="s">
        <v>46</v>
      </c>
      <c r="E111" s="1" t="s">
        <v>237</v>
      </c>
      <c r="F111" s="1" t="s">
        <v>238</v>
      </c>
      <c r="G111" s="1" t="s">
        <v>24</v>
      </c>
      <c r="H111" s="1">
        <v>2.11</v>
      </c>
      <c r="I111" s="1" t="s">
        <v>25</v>
      </c>
      <c r="J111" s="1" t="s">
        <v>26</v>
      </c>
      <c r="K111" s="1" t="s">
        <v>226</v>
      </c>
      <c r="L111" s="1" t="s">
        <v>56</v>
      </c>
      <c r="M111" s="1" t="s">
        <v>29</v>
      </c>
      <c r="N111" s="1" t="s">
        <v>30</v>
      </c>
      <c r="O111" s="2">
        <v>559.0</v>
      </c>
      <c r="P111" s="2">
        <f t="shared" si="0"/>
        <v>264.928909952607</v>
      </c>
      <c r="Q111" s="3">
        <f t="shared" si="1"/>
        <v>0.135617173524151</v>
      </c>
      <c r="R111" s="2">
        <v>229.0</v>
      </c>
      <c r="S111" s="2">
        <f t="shared" si="6"/>
        <v>219.0</v>
      </c>
    </row>
    <row r="112" ht="17.0">
      <c r="A112" s="1" t="s">
        <v>45</v>
      </c>
      <c r="B112" s="1" t="s">
        <v>20</v>
      </c>
      <c r="C112" s="1" t="s">
        <v>21</v>
      </c>
      <c r="D112" s="1" t="s">
        <v>46</v>
      </c>
      <c r="E112" s="1" t="s">
        <v>239</v>
      </c>
      <c r="F112" s="1" t="s">
        <v>240</v>
      </c>
      <c r="G112" s="1" t="s">
        <v>24</v>
      </c>
      <c r="H112" s="1">
        <v>1.82</v>
      </c>
      <c r="I112" s="1" t="s">
        <v>83</v>
      </c>
      <c r="J112" s="1" t="s">
        <v>26</v>
      </c>
      <c r="K112" s="1" t="s">
        <v>42</v>
      </c>
      <c r="L112" s="1" t="s">
        <v>28</v>
      </c>
      <c r="M112" s="1" t="s">
        <v>29</v>
      </c>
      <c r="N112" s="1" t="s">
        <v>30</v>
      </c>
      <c r="O112" s="2">
        <v>659.0</v>
      </c>
      <c r="P112" s="2">
        <f t="shared" si="0"/>
        <v>362.087912087912</v>
      </c>
      <c r="Q112" s="3">
        <f t="shared" si="1"/>
        <v>0.367556904400605</v>
      </c>
      <c r="R112" s="2">
        <v>229.0</v>
      </c>
      <c r="S112" s="2">
        <f t="shared" si="6"/>
        <v>219.0</v>
      </c>
    </row>
    <row r="113" ht="17.0">
      <c r="A113" s="1" t="s">
        <v>92</v>
      </c>
      <c r="B113" s="1" t="s">
        <v>20</v>
      </c>
      <c r="C113" s="1" t="s">
        <v>21</v>
      </c>
      <c r="D113" s="1" t="s">
        <v>93</v>
      </c>
      <c r="E113" s="1" t="s">
        <v>241</v>
      </c>
      <c r="F113" s="1" t="s">
        <v>242</v>
      </c>
      <c r="G113" s="1" t="s">
        <v>24</v>
      </c>
      <c r="H113" s="1">
        <v>1.8</v>
      </c>
      <c r="I113" s="1" t="s">
        <v>104</v>
      </c>
      <c r="J113" s="1" t="s">
        <v>26</v>
      </c>
      <c r="K113" s="1" t="s">
        <v>42</v>
      </c>
      <c r="L113" s="1" t="s">
        <v>28</v>
      </c>
      <c r="M113" s="1" t="s">
        <v>29</v>
      </c>
      <c r="N113" s="1" t="s">
        <v>30</v>
      </c>
      <c r="O113" s="2">
        <v>499.0</v>
      </c>
      <c r="P113" s="2">
        <f t="shared" si="0"/>
        <v>277.222222222222</v>
      </c>
      <c r="Q113" s="3">
        <f t="shared" si="1"/>
        <v>0.173947895791581</v>
      </c>
      <c r="R113" s="2">
        <v>229.0</v>
      </c>
      <c r="S113" s="2">
        <v>219.0</v>
      </c>
    </row>
    <row r="114" ht="17.0">
      <c r="A114" s="1" t="s">
        <v>19</v>
      </c>
      <c r="B114" s="1" t="s">
        <v>20</v>
      </c>
      <c r="C114" s="1" t="s">
        <v>21</v>
      </c>
      <c r="D114" s="1" t="s">
        <v>22</v>
      </c>
      <c r="E114" s="10">
        <v>5.20224251007151E14</v>
      </c>
      <c r="F114" s="1" t="s">
        <v>243</v>
      </c>
      <c r="G114" s="1" t="s">
        <v>24</v>
      </c>
      <c r="H114" s="1">
        <v>1.53</v>
      </c>
      <c r="I114" s="1" t="s">
        <v>147</v>
      </c>
      <c r="J114" s="1" t="s">
        <v>26</v>
      </c>
      <c r="K114" s="1" t="s">
        <v>61</v>
      </c>
      <c r="L114" s="1" t="s">
        <v>56</v>
      </c>
      <c r="M114" s="1" t="s">
        <v>43</v>
      </c>
      <c r="N114" s="1" t="s">
        <v>30</v>
      </c>
      <c r="O114" s="2">
        <v>439.0</v>
      </c>
      <c r="P114" s="2">
        <f t="shared" si="0"/>
        <v>286.928104575163</v>
      </c>
      <c r="Q114" s="3">
        <f t="shared" si="1"/>
        <v>0.167038724373576</v>
      </c>
      <c r="R114" s="2">
        <v>239.0</v>
      </c>
      <c r="S114" s="2">
        <v>0.0</v>
      </c>
    </row>
    <row r="115" ht="17.0">
      <c r="A115" s="1" t="s">
        <v>19</v>
      </c>
      <c r="B115" s="1" t="s">
        <v>20</v>
      </c>
      <c r="C115" s="1" t="s">
        <v>21</v>
      </c>
      <c r="D115" s="1" t="s">
        <v>22</v>
      </c>
      <c r="E115" s="10">
        <v>5.22915408067151E14</v>
      </c>
      <c r="F115" s="1" t="s">
        <v>244</v>
      </c>
      <c r="G115" s="1" t="s">
        <v>24</v>
      </c>
      <c r="H115" s="1">
        <v>1.53</v>
      </c>
      <c r="I115" s="1" t="s">
        <v>147</v>
      </c>
      <c r="J115" s="1" t="s">
        <v>26</v>
      </c>
      <c r="K115" s="1" t="s">
        <v>61</v>
      </c>
      <c r="L115" s="1" t="s">
        <v>56</v>
      </c>
      <c r="M115" s="1" t="s">
        <v>29</v>
      </c>
      <c r="N115" s="1" t="s">
        <v>30</v>
      </c>
      <c r="O115" s="2">
        <v>439.0</v>
      </c>
      <c r="P115" s="2">
        <f t="shared" si="0"/>
        <v>286.928104575163</v>
      </c>
      <c r="Q115" s="3">
        <f t="shared" si="1"/>
        <v>0.167038724373576</v>
      </c>
      <c r="R115" s="2">
        <v>239.0</v>
      </c>
      <c r="S115" s="2">
        <v>0.0</v>
      </c>
    </row>
    <row r="116" ht="17.0">
      <c r="A116" s="1" t="s">
        <v>19</v>
      </c>
      <c r="B116" s="1" t="s">
        <v>20</v>
      </c>
      <c r="C116" s="1" t="s">
        <v>21</v>
      </c>
      <c r="D116" s="1" t="s">
        <v>22</v>
      </c>
      <c r="E116" s="10">
        <v>5.22915408156151E14</v>
      </c>
      <c r="F116" s="1" t="s">
        <v>245</v>
      </c>
      <c r="G116" s="1" t="s">
        <v>24</v>
      </c>
      <c r="H116" s="1">
        <v>1.53</v>
      </c>
      <c r="I116" s="1" t="s">
        <v>147</v>
      </c>
      <c r="J116" s="1" t="s">
        <v>26</v>
      </c>
      <c r="K116" s="1" t="s">
        <v>61</v>
      </c>
      <c r="L116" s="1" t="s">
        <v>63</v>
      </c>
      <c r="M116" s="1" t="s">
        <v>29</v>
      </c>
      <c r="N116" s="1" t="s">
        <v>30</v>
      </c>
      <c r="O116" s="2">
        <v>439.0</v>
      </c>
      <c r="P116" s="2">
        <f t="shared" si="0"/>
        <v>286.928104575163</v>
      </c>
      <c r="Q116" s="3">
        <f t="shared" si="1"/>
        <v>0.167038724373576</v>
      </c>
      <c r="R116" s="2">
        <v>239.0</v>
      </c>
      <c r="S116" s="2">
        <v>0.0</v>
      </c>
    </row>
    <row r="117" ht="17.0">
      <c r="A117" s="1" t="s">
        <v>19</v>
      </c>
      <c r="B117" s="1" t="s">
        <v>20</v>
      </c>
      <c r="C117" s="1" t="s">
        <v>21</v>
      </c>
      <c r="D117" s="1" t="s">
        <v>22</v>
      </c>
      <c r="E117" s="10">
        <v>5.22841143931201E14</v>
      </c>
      <c r="F117" s="1" t="s">
        <v>246</v>
      </c>
      <c r="G117" s="1" t="s">
        <v>24</v>
      </c>
      <c r="H117" s="1">
        <v>1.83</v>
      </c>
      <c r="I117" s="1" t="s">
        <v>83</v>
      </c>
      <c r="J117" s="1" t="s">
        <v>26</v>
      </c>
      <c r="K117" s="1" t="s">
        <v>27</v>
      </c>
      <c r="L117" s="1" t="s">
        <v>56</v>
      </c>
      <c r="M117" s="1" t="s">
        <v>43</v>
      </c>
      <c r="N117" s="1" t="s">
        <v>30</v>
      </c>
      <c r="O117" s="2">
        <v>529.0</v>
      </c>
      <c r="P117" s="2">
        <f t="shared" si="0"/>
        <v>289.071038251366</v>
      </c>
      <c r="Q117" s="3">
        <f t="shared" si="1"/>
        <v>0.173213610586011</v>
      </c>
      <c r="R117" s="2">
        <v>239.0</v>
      </c>
      <c r="S117" s="2">
        <v>0.0</v>
      </c>
    </row>
    <row r="118" ht="17.0">
      <c r="A118" s="1" t="s">
        <v>92</v>
      </c>
      <c r="B118" s="1" t="s">
        <v>20</v>
      </c>
      <c r="C118" s="1" t="s">
        <v>21</v>
      </c>
      <c r="D118" s="1" t="s">
        <v>93</v>
      </c>
      <c r="E118" s="1" t="s">
        <v>247</v>
      </c>
      <c r="F118" s="1" t="s">
        <v>248</v>
      </c>
      <c r="G118" s="1" t="s">
        <v>24</v>
      </c>
      <c r="H118" s="1">
        <v>1.8</v>
      </c>
      <c r="I118" s="1" t="s">
        <v>104</v>
      </c>
      <c r="J118" s="1" t="s">
        <v>26</v>
      </c>
      <c r="K118" s="1" t="s">
        <v>42</v>
      </c>
      <c r="L118" s="1" t="s">
        <v>63</v>
      </c>
      <c r="M118" s="1" t="s">
        <v>220</v>
      </c>
      <c r="N118" s="1" t="s">
        <v>30</v>
      </c>
      <c r="O118" s="2">
        <v>499.0</v>
      </c>
      <c r="P118" s="2">
        <f t="shared" si="0"/>
        <v>277.222222222222</v>
      </c>
      <c r="Q118" s="3">
        <f t="shared" si="1"/>
        <v>0.137875751503006</v>
      </c>
      <c r="R118" s="2">
        <v>239.0</v>
      </c>
      <c r="S118" s="2">
        <v>209.0</v>
      </c>
    </row>
    <row r="119" ht="17.0">
      <c r="A119" s="1" t="s">
        <v>92</v>
      </c>
      <c r="B119" s="1" t="s">
        <v>20</v>
      </c>
      <c r="C119" s="1" t="s">
        <v>21</v>
      </c>
      <c r="D119" s="1" t="s">
        <v>93</v>
      </c>
      <c r="E119" s="1" t="s">
        <v>249</v>
      </c>
      <c r="F119" s="1" t="s">
        <v>250</v>
      </c>
      <c r="G119" s="1" t="s">
        <v>24</v>
      </c>
      <c r="H119" s="1">
        <v>1.8</v>
      </c>
      <c r="I119" s="1" t="s">
        <v>104</v>
      </c>
      <c r="J119" s="1" t="s">
        <v>26</v>
      </c>
      <c r="K119" s="1" t="s">
        <v>27</v>
      </c>
      <c r="L119" s="1" t="s">
        <v>97</v>
      </c>
      <c r="M119" s="1" t="s">
        <v>98</v>
      </c>
      <c r="N119" s="1" t="s">
        <v>30</v>
      </c>
      <c r="O119" s="2">
        <v>589.0</v>
      </c>
      <c r="P119" s="2">
        <f t="shared" si="0"/>
        <v>327.222222222222</v>
      </c>
      <c r="Q119" s="3">
        <f t="shared" si="1"/>
        <v>0.269609507640066</v>
      </c>
      <c r="R119" s="2">
        <v>239.0</v>
      </c>
      <c r="S119" s="2">
        <v>216.0</v>
      </c>
    </row>
    <row r="120" ht="17.0">
      <c r="A120" s="1" t="s">
        <v>92</v>
      </c>
      <c r="B120" s="1" t="s">
        <v>20</v>
      </c>
      <c r="C120" s="1" t="s">
        <v>21</v>
      </c>
      <c r="D120" s="1" t="s">
        <v>93</v>
      </c>
      <c r="E120" s="1" t="s">
        <v>251</v>
      </c>
      <c r="F120" s="1" t="s">
        <v>252</v>
      </c>
      <c r="G120" s="1" t="s">
        <v>24</v>
      </c>
      <c r="H120" s="1">
        <v>1.98</v>
      </c>
      <c r="I120" s="1" t="s">
        <v>253</v>
      </c>
      <c r="J120" s="1" t="s">
        <v>26</v>
      </c>
      <c r="K120" s="1" t="s">
        <v>42</v>
      </c>
      <c r="L120" s="1" t="s">
        <v>131</v>
      </c>
      <c r="M120" s="1" t="s">
        <v>29</v>
      </c>
      <c r="N120" s="1" t="s">
        <v>99</v>
      </c>
      <c r="O120" s="2">
        <v>596.0</v>
      </c>
      <c r="P120" s="2">
        <f t="shared" si="0"/>
        <v>301.010101010101</v>
      </c>
      <c r="Q120" s="3">
        <f t="shared" si="1"/>
        <v>0.206006711409394</v>
      </c>
      <c r="R120" s="2">
        <v>239.0</v>
      </c>
      <c r="S120" s="2">
        <v>229.0</v>
      </c>
    </row>
    <row r="121" ht="17.0">
      <c r="A121" s="1" t="s">
        <v>45</v>
      </c>
      <c r="B121" s="1" t="s">
        <v>20</v>
      </c>
      <c r="C121" s="1" t="s">
        <v>21</v>
      </c>
      <c r="D121" s="1" t="s">
        <v>46</v>
      </c>
      <c r="E121" s="1" t="s">
        <v>254</v>
      </c>
      <c r="F121" s="1" t="s">
        <v>255</v>
      </c>
      <c r="G121" s="1" t="s">
        <v>24</v>
      </c>
      <c r="H121" s="1">
        <v>1.8</v>
      </c>
      <c r="I121" s="1" t="s">
        <v>256</v>
      </c>
      <c r="J121" s="1" t="s">
        <v>26</v>
      </c>
      <c r="K121" s="1" t="s">
        <v>27</v>
      </c>
      <c r="L121" s="1" t="s">
        <v>56</v>
      </c>
      <c r="M121" s="1" t="s">
        <v>29</v>
      </c>
      <c r="N121" s="1" t="s">
        <v>99</v>
      </c>
      <c r="O121" s="2">
        <v>549.0</v>
      </c>
      <c r="P121" s="2">
        <f t="shared" si="0"/>
        <v>305.0</v>
      </c>
      <c r="Q121" s="3">
        <f t="shared" si="1"/>
        <v>0.216393442622951</v>
      </c>
      <c r="R121" s="2">
        <v>239.0</v>
      </c>
      <c r="S121" s="2">
        <f t="shared" ref="S121:S122" si="7">R121-10</f>
        <v>229.0</v>
      </c>
    </row>
    <row r="122" ht="17.0">
      <c r="A122" s="1" t="s">
        <v>45</v>
      </c>
      <c r="B122" s="1" t="s">
        <v>20</v>
      </c>
      <c r="C122" s="1" t="s">
        <v>21</v>
      </c>
      <c r="D122" s="1" t="s">
        <v>46</v>
      </c>
      <c r="E122" s="1" t="s">
        <v>257</v>
      </c>
      <c r="F122" s="1" t="s">
        <v>258</v>
      </c>
      <c r="G122" s="1" t="s">
        <v>24</v>
      </c>
      <c r="H122" s="1">
        <v>1.8</v>
      </c>
      <c r="I122" s="1" t="s">
        <v>256</v>
      </c>
      <c r="J122" s="1" t="s">
        <v>26</v>
      </c>
      <c r="K122" s="1" t="s">
        <v>27</v>
      </c>
      <c r="L122" s="1" t="s">
        <v>56</v>
      </c>
      <c r="M122" s="1" t="s">
        <v>43</v>
      </c>
      <c r="N122" s="1" t="s">
        <v>99</v>
      </c>
      <c r="O122" s="2">
        <v>569.0</v>
      </c>
      <c r="P122" s="2">
        <f t="shared" si="0"/>
        <v>316.111111111111</v>
      </c>
      <c r="Q122" s="3">
        <f t="shared" si="1"/>
        <v>0.212302284710018</v>
      </c>
      <c r="R122" s="2">
        <v>249.0</v>
      </c>
      <c r="S122" s="2">
        <f t="shared" si="7"/>
        <v>239.0</v>
      </c>
    </row>
    <row r="123" ht="17.0">
      <c r="A123" s="1" t="s">
        <v>19</v>
      </c>
      <c r="B123" s="1" t="s">
        <v>20</v>
      </c>
      <c r="C123" s="1" t="s">
        <v>21</v>
      </c>
      <c r="D123" s="1" t="s">
        <v>22</v>
      </c>
      <c r="E123" s="10">
        <v>5.21424411124031E14</v>
      </c>
      <c r="F123" s="1" t="s">
        <v>259</v>
      </c>
      <c r="G123" s="1" t="s">
        <v>24</v>
      </c>
      <c r="H123" s="1">
        <v>1.68</v>
      </c>
      <c r="I123" s="1" t="s">
        <v>260</v>
      </c>
      <c r="J123" s="1" t="s">
        <v>26</v>
      </c>
      <c r="K123" s="1" t="s">
        <v>61</v>
      </c>
      <c r="L123" s="1" t="s">
        <v>74</v>
      </c>
      <c r="M123" s="1" t="s">
        <v>43</v>
      </c>
      <c r="N123" s="1" t="s">
        <v>30</v>
      </c>
      <c r="O123" s="2">
        <v>519.0</v>
      </c>
      <c r="P123" s="2">
        <f t="shared" si="0"/>
        <v>308.928571428571</v>
      </c>
      <c r="Q123" s="3">
        <f t="shared" si="1"/>
        <v>0.161618497109826</v>
      </c>
      <c r="R123" s="2">
        <v>259.0</v>
      </c>
      <c r="S123" s="2">
        <v>0.0</v>
      </c>
    </row>
    <row r="124" ht="17.0">
      <c r="A124" s="1" t="s">
        <v>19</v>
      </c>
      <c r="B124" s="1" t="s">
        <v>20</v>
      </c>
      <c r="C124" s="1" t="s">
        <v>21</v>
      </c>
      <c r="D124" s="1" t="s">
        <v>22</v>
      </c>
      <c r="E124" s="10">
        <v>5.21424411007031E14</v>
      </c>
      <c r="F124" s="1" t="s">
        <v>261</v>
      </c>
      <c r="G124" s="1" t="s">
        <v>24</v>
      </c>
      <c r="H124" s="1">
        <v>1.68</v>
      </c>
      <c r="I124" s="1" t="s">
        <v>260</v>
      </c>
      <c r="J124" s="1" t="s">
        <v>26</v>
      </c>
      <c r="K124" s="1" t="s">
        <v>61</v>
      </c>
      <c r="L124" s="1" t="s">
        <v>56</v>
      </c>
      <c r="M124" s="1" t="s">
        <v>43</v>
      </c>
      <c r="N124" s="1" t="s">
        <v>30</v>
      </c>
      <c r="O124" s="2">
        <v>519.0</v>
      </c>
      <c r="P124" s="2">
        <f t="shared" si="0"/>
        <v>308.928571428571</v>
      </c>
      <c r="Q124" s="3">
        <f t="shared" si="1"/>
        <v>0.161618497109826</v>
      </c>
      <c r="R124" s="2">
        <v>259.0</v>
      </c>
      <c r="S124" s="2">
        <v>0.0</v>
      </c>
    </row>
    <row r="125" ht="17.0">
      <c r="A125" s="1" t="s">
        <v>19</v>
      </c>
      <c r="B125" s="1" t="s">
        <v>20</v>
      </c>
      <c r="C125" s="1" t="s">
        <v>21</v>
      </c>
      <c r="D125" s="1" t="s">
        <v>22</v>
      </c>
      <c r="E125" s="10">
        <v>5.21424411125031E14</v>
      </c>
      <c r="F125" s="1" t="s">
        <v>262</v>
      </c>
      <c r="G125" s="1" t="s">
        <v>24</v>
      </c>
      <c r="H125" s="1">
        <v>1.68</v>
      </c>
      <c r="I125" s="1" t="s">
        <v>260</v>
      </c>
      <c r="J125" s="1" t="s">
        <v>26</v>
      </c>
      <c r="K125" s="1" t="s">
        <v>61</v>
      </c>
      <c r="L125" s="1" t="s">
        <v>263</v>
      </c>
      <c r="M125" s="1" t="s">
        <v>43</v>
      </c>
      <c r="N125" s="1" t="s">
        <v>30</v>
      </c>
      <c r="O125" s="2">
        <v>519.0</v>
      </c>
      <c r="P125" s="2">
        <f t="shared" si="0"/>
        <v>308.928571428571</v>
      </c>
      <c r="Q125" s="3">
        <f t="shared" si="1"/>
        <v>0.161618497109826</v>
      </c>
      <c r="R125" s="2">
        <v>259.0</v>
      </c>
      <c r="S125" s="2">
        <v>0.0</v>
      </c>
    </row>
    <row r="126" ht="17.0">
      <c r="A126" s="1" t="s">
        <v>19</v>
      </c>
      <c r="B126" s="1" t="s">
        <v>20</v>
      </c>
      <c r="C126" s="1" t="s">
        <v>21</v>
      </c>
      <c r="D126" s="1" t="s">
        <v>22</v>
      </c>
      <c r="E126" s="10">
        <v>5.21424411011031E14</v>
      </c>
      <c r="F126" s="1" t="s">
        <v>264</v>
      </c>
      <c r="G126" s="1" t="s">
        <v>24</v>
      </c>
      <c r="H126" s="1">
        <v>1.68</v>
      </c>
      <c r="I126" s="1" t="s">
        <v>260</v>
      </c>
      <c r="J126" s="1" t="s">
        <v>26</v>
      </c>
      <c r="K126" s="1" t="s">
        <v>61</v>
      </c>
      <c r="L126" s="1" t="s">
        <v>32</v>
      </c>
      <c r="M126" s="1" t="s">
        <v>43</v>
      </c>
      <c r="N126" s="1" t="s">
        <v>30</v>
      </c>
      <c r="O126" s="2">
        <v>519.0</v>
      </c>
      <c r="P126" s="2">
        <f t="shared" si="0"/>
        <v>308.928571428571</v>
      </c>
      <c r="Q126" s="3">
        <f t="shared" si="1"/>
        <v>0.161618497109826</v>
      </c>
      <c r="R126" s="2">
        <v>259.0</v>
      </c>
      <c r="S126" s="2">
        <v>0.0</v>
      </c>
    </row>
    <row r="127" ht="17.0">
      <c r="A127" s="1" t="s">
        <v>19</v>
      </c>
      <c r="B127" s="1" t="s">
        <v>20</v>
      </c>
      <c r="C127" s="1" t="s">
        <v>21</v>
      </c>
      <c r="D127" s="1" t="s">
        <v>22</v>
      </c>
      <c r="E127" s="10">
        <v>5.21424411016031E14</v>
      </c>
      <c r="F127" s="1" t="s">
        <v>265</v>
      </c>
      <c r="G127" s="1" t="s">
        <v>24</v>
      </c>
      <c r="H127" s="1">
        <v>1.68</v>
      </c>
      <c r="I127" s="1" t="s">
        <v>260</v>
      </c>
      <c r="J127" s="1" t="s">
        <v>26</v>
      </c>
      <c r="K127" s="1" t="s">
        <v>61</v>
      </c>
      <c r="L127" s="1" t="s">
        <v>63</v>
      </c>
      <c r="M127" s="1" t="s">
        <v>43</v>
      </c>
      <c r="N127" s="1" t="s">
        <v>30</v>
      </c>
      <c r="O127" s="2">
        <v>519.0</v>
      </c>
      <c r="P127" s="2">
        <f t="shared" si="0"/>
        <v>308.928571428571</v>
      </c>
      <c r="Q127" s="3">
        <f t="shared" si="1"/>
        <v>0.161618497109826</v>
      </c>
      <c r="R127" s="2">
        <v>259.0</v>
      </c>
      <c r="S127" s="2">
        <v>0.0</v>
      </c>
    </row>
    <row r="128" ht="17.0">
      <c r="A128" s="1" t="s">
        <v>19</v>
      </c>
      <c r="B128" s="1" t="s">
        <v>20</v>
      </c>
      <c r="C128" s="1" t="s">
        <v>21</v>
      </c>
      <c r="D128" s="1" t="s">
        <v>22</v>
      </c>
      <c r="E128" s="10">
        <v>5.21424411098031E14</v>
      </c>
      <c r="F128" s="1" t="s">
        <v>266</v>
      </c>
      <c r="G128" s="1" t="s">
        <v>24</v>
      </c>
      <c r="H128" s="1">
        <v>1.68</v>
      </c>
      <c r="I128" s="1" t="s">
        <v>260</v>
      </c>
      <c r="J128" s="1" t="s">
        <v>26</v>
      </c>
      <c r="K128" s="1" t="s">
        <v>61</v>
      </c>
      <c r="L128" s="1" t="s">
        <v>78</v>
      </c>
      <c r="M128" s="1" t="s">
        <v>43</v>
      </c>
      <c r="N128" s="1" t="s">
        <v>30</v>
      </c>
      <c r="O128" s="2">
        <v>519.0</v>
      </c>
      <c r="P128" s="2">
        <f t="shared" si="0"/>
        <v>308.928571428571</v>
      </c>
      <c r="Q128" s="3">
        <f t="shared" si="1"/>
        <v>0.161618497109826</v>
      </c>
      <c r="R128" s="2">
        <v>259.0</v>
      </c>
      <c r="S128" s="2">
        <v>0.0</v>
      </c>
    </row>
    <row r="129" ht="17.0">
      <c r="A129" s="1" t="s">
        <v>19</v>
      </c>
      <c r="B129" s="1" t="s">
        <v>20</v>
      </c>
      <c r="C129" s="1" t="s">
        <v>21</v>
      </c>
      <c r="D129" s="1" t="s">
        <v>22</v>
      </c>
      <c r="E129" s="10">
        <v>5.22533143067011E14</v>
      </c>
      <c r="F129" s="1" t="s">
        <v>267</v>
      </c>
      <c r="G129" s="1" t="s">
        <v>24</v>
      </c>
      <c r="H129" s="1">
        <v>1.8</v>
      </c>
      <c r="I129" s="1" t="s">
        <v>256</v>
      </c>
      <c r="J129" s="1" t="s">
        <v>26</v>
      </c>
      <c r="K129" s="1" t="s">
        <v>27</v>
      </c>
      <c r="L129" s="1" t="s">
        <v>56</v>
      </c>
      <c r="M129" s="1" t="s">
        <v>43</v>
      </c>
      <c r="N129" s="1" t="s">
        <v>99</v>
      </c>
      <c r="O129" s="2">
        <v>569.0</v>
      </c>
      <c r="P129" s="2">
        <f t="shared" si="0"/>
        <v>316.111111111111</v>
      </c>
      <c r="Q129" s="3">
        <f t="shared" si="1"/>
        <v>0.180667838312828</v>
      </c>
      <c r="R129" s="2">
        <v>259.0</v>
      </c>
      <c r="S129" s="2">
        <v>0.0</v>
      </c>
    </row>
    <row r="130" ht="17.0">
      <c r="A130" s="1" t="s">
        <v>45</v>
      </c>
      <c r="B130" s="1" t="s">
        <v>20</v>
      </c>
      <c r="C130" s="1" t="s">
        <v>21</v>
      </c>
      <c r="D130" s="1" t="s">
        <v>46</v>
      </c>
      <c r="E130" s="1" t="s">
        <v>268</v>
      </c>
      <c r="F130" s="1" t="s">
        <v>269</v>
      </c>
      <c r="G130" s="1" t="s">
        <v>24</v>
      </c>
      <c r="H130" s="1">
        <v>1.19</v>
      </c>
      <c r="I130" s="1" t="s">
        <v>270</v>
      </c>
      <c r="J130" s="1" t="s">
        <v>26</v>
      </c>
      <c r="K130" s="1" t="s">
        <v>58</v>
      </c>
      <c r="L130" s="1" t="s">
        <v>59</v>
      </c>
      <c r="M130" s="1" t="s">
        <v>29</v>
      </c>
      <c r="N130" s="1" t="s">
        <v>99</v>
      </c>
      <c r="O130" s="2">
        <v>549.0</v>
      </c>
      <c r="P130" s="2">
        <f t="shared" si="0"/>
        <v>461.344537815126</v>
      </c>
      <c r="Q130" s="3">
        <f t="shared" si="1"/>
        <v>0.156812386156649</v>
      </c>
      <c r="R130" s="2">
        <v>389.0</v>
      </c>
      <c r="S130" s="2">
        <f>R130-10</f>
        <v>379.0</v>
      </c>
    </row>
    <row r="131" ht="17.0">
      <c r="A131" s="1" t="s">
        <v>92</v>
      </c>
      <c r="B131" s="1" t="s">
        <v>20</v>
      </c>
      <c r="C131" s="1" t="s">
        <v>21</v>
      </c>
      <c r="D131" s="1" t="s">
        <v>93</v>
      </c>
      <c r="E131" s="1" t="s">
        <v>271</v>
      </c>
      <c r="F131" s="1" t="s">
        <v>272</v>
      </c>
      <c r="G131" s="1" t="s">
        <v>24</v>
      </c>
      <c r="H131" s="1">
        <v>1.76</v>
      </c>
      <c r="I131" s="1" t="s">
        <v>273</v>
      </c>
      <c r="J131" s="1" t="s">
        <v>26</v>
      </c>
      <c r="K131" s="1" t="s">
        <v>58</v>
      </c>
      <c r="L131" s="1" t="s">
        <v>59</v>
      </c>
      <c r="M131" s="1" t="s">
        <v>220</v>
      </c>
      <c r="N131" s="1" t="s">
        <v>99</v>
      </c>
      <c r="O131" s="2">
        <v>599.0</v>
      </c>
      <c r="P131" s="2">
        <f t="shared" si="0"/>
        <v>340.340909090909</v>
      </c>
      <c r="Q131" s="3">
        <f t="shared" si="1"/>
        <v>0.209616026711184</v>
      </c>
      <c r="R131" s="2">
        <v>269.0</v>
      </c>
      <c r="S131" s="2">
        <v>249.0</v>
      </c>
    </row>
    <row r="132" ht="17.0">
      <c r="A132" s="1" t="s">
        <v>92</v>
      </c>
      <c r="B132" s="1" t="s">
        <v>20</v>
      </c>
      <c r="C132" s="1" t="s">
        <v>21</v>
      </c>
      <c r="D132" s="1" t="s">
        <v>93</v>
      </c>
      <c r="E132" s="1" t="s">
        <v>274</v>
      </c>
      <c r="F132" s="1" t="s">
        <v>275</v>
      </c>
      <c r="G132" s="1" t="s">
        <v>24</v>
      </c>
      <c r="H132" s="1">
        <v>1.76</v>
      </c>
      <c r="I132" s="1" t="s">
        <v>273</v>
      </c>
      <c r="J132" s="1" t="s">
        <v>26</v>
      </c>
      <c r="K132" s="1" t="s">
        <v>58</v>
      </c>
      <c r="L132" s="1" t="s">
        <v>28</v>
      </c>
      <c r="M132" s="1" t="s">
        <v>220</v>
      </c>
      <c r="N132" s="1" t="s">
        <v>99</v>
      </c>
      <c r="O132" s="2">
        <v>599.0</v>
      </c>
      <c r="P132" s="2">
        <f t="shared" si="0"/>
        <v>340.340909090909</v>
      </c>
      <c r="Q132" s="3">
        <f t="shared" si="1"/>
        <v>0.209616026711184</v>
      </c>
      <c r="R132" s="2">
        <v>269.0</v>
      </c>
      <c r="S132" s="2">
        <v>249.0</v>
      </c>
    </row>
    <row r="133" ht="17.0">
      <c r="A133" s="1" t="s">
        <v>92</v>
      </c>
      <c r="B133" s="1" t="s">
        <v>20</v>
      </c>
      <c r="C133" s="1" t="s">
        <v>21</v>
      </c>
      <c r="D133" s="1" t="s">
        <v>93</v>
      </c>
      <c r="E133" s="1" t="s">
        <v>276</v>
      </c>
      <c r="F133" s="1" t="s">
        <v>277</v>
      </c>
      <c r="G133" s="1" t="s">
        <v>24</v>
      </c>
      <c r="H133" s="1">
        <v>1.42</v>
      </c>
      <c r="I133" s="1" t="s">
        <v>278</v>
      </c>
      <c r="J133" s="1" t="s">
        <v>26</v>
      </c>
      <c r="K133" s="1" t="s">
        <v>58</v>
      </c>
      <c r="L133" s="1" t="s">
        <v>59</v>
      </c>
      <c r="M133" s="1" t="s">
        <v>29</v>
      </c>
      <c r="N133" s="1" t="s">
        <v>99</v>
      </c>
      <c r="O133" s="2">
        <v>529.0</v>
      </c>
      <c r="P133" s="2">
        <f t="shared" si="0"/>
        <v>372.5352112676</v>
      </c>
      <c r="Q133" s="3">
        <f t="shared" si="1"/>
        <v>0.30476370510396</v>
      </c>
      <c r="R133" s="2">
        <v>259.0</v>
      </c>
      <c r="S133" s="2">
        <v>249.0</v>
      </c>
    </row>
    <row r="134" ht="17.0">
      <c r="A134" s="1" t="s">
        <v>92</v>
      </c>
      <c r="B134" s="1" t="s">
        <v>20</v>
      </c>
      <c r="C134" s="1" t="s">
        <v>21</v>
      </c>
      <c r="D134" s="1" t="s">
        <v>93</v>
      </c>
      <c r="E134" s="1" t="s">
        <v>279</v>
      </c>
      <c r="F134" s="1" t="s">
        <v>280</v>
      </c>
      <c r="G134" s="1" t="s">
        <v>24</v>
      </c>
      <c r="H134" s="1">
        <v>1.42</v>
      </c>
      <c r="I134" s="1" t="s">
        <v>278</v>
      </c>
      <c r="J134" s="1" t="s">
        <v>26</v>
      </c>
      <c r="K134" s="1" t="s">
        <v>42</v>
      </c>
      <c r="L134" s="1" t="s">
        <v>131</v>
      </c>
      <c r="M134" s="1" t="s">
        <v>29</v>
      </c>
      <c r="N134" s="1" t="s">
        <v>99</v>
      </c>
      <c r="O134" s="2">
        <v>559.0</v>
      </c>
      <c r="P134" s="2">
        <f t="shared" si="0"/>
        <v>393.66197183099</v>
      </c>
      <c r="Q134" s="3">
        <f t="shared" si="1"/>
        <v>0.342075134168164</v>
      </c>
      <c r="R134" s="2">
        <v>259.0</v>
      </c>
      <c r="S134" s="2">
        <v>259.0</v>
      </c>
    </row>
    <row r="135" ht="17.0">
      <c r="A135" s="1" t="s">
        <v>19</v>
      </c>
      <c r="B135" s="1" t="s">
        <v>20</v>
      </c>
      <c r="C135" s="1" t="s">
        <v>21</v>
      </c>
      <c r="D135" s="1" t="s">
        <v>22</v>
      </c>
      <c r="E135" s="10">
        <v>5.22065143011011E14</v>
      </c>
      <c r="F135" s="1" t="s">
        <v>281</v>
      </c>
      <c r="G135" s="1" t="s">
        <v>24</v>
      </c>
      <c r="H135" s="1">
        <v>1.83</v>
      </c>
      <c r="I135" s="1" t="s">
        <v>83</v>
      </c>
      <c r="J135" s="1" t="s">
        <v>26</v>
      </c>
      <c r="K135" s="1" t="s">
        <v>282</v>
      </c>
      <c r="L135" s="1" t="s">
        <v>32</v>
      </c>
      <c r="M135" s="1" t="s">
        <v>29</v>
      </c>
      <c r="N135" s="1" t="s">
        <v>30</v>
      </c>
      <c r="O135" s="2">
        <v>589.0</v>
      </c>
      <c r="P135" s="2">
        <f t="shared" si="0"/>
        <v>321.857923497268</v>
      </c>
      <c r="Q135" s="3">
        <f t="shared" si="1"/>
        <v>0.164227504244482</v>
      </c>
      <c r="R135" s="2">
        <v>269.0</v>
      </c>
      <c r="S135" s="2">
        <v>0.0</v>
      </c>
    </row>
    <row r="136" ht="17.0">
      <c r="A136" s="1" t="s">
        <v>19</v>
      </c>
      <c r="B136" s="1" t="s">
        <v>20</v>
      </c>
      <c r="C136" s="1" t="s">
        <v>21</v>
      </c>
      <c r="D136" s="1" t="s">
        <v>22</v>
      </c>
      <c r="E136" s="10">
        <v>5.22065143567011E14</v>
      </c>
      <c r="F136" s="1" t="s">
        <v>283</v>
      </c>
      <c r="G136" s="1" t="s">
        <v>24</v>
      </c>
      <c r="H136" s="1">
        <v>1.83</v>
      </c>
      <c r="I136" s="1" t="s">
        <v>83</v>
      </c>
      <c r="J136" s="1" t="s">
        <v>26</v>
      </c>
      <c r="K136" s="1" t="s">
        <v>282</v>
      </c>
      <c r="L136" s="1" t="s">
        <v>32</v>
      </c>
      <c r="M136" s="1" t="s">
        <v>29</v>
      </c>
      <c r="N136" s="1" t="s">
        <v>30</v>
      </c>
      <c r="O136" s="2">
        <v>589.0</v>
      </c>
      <c r="P136" s="2">
        <f t="shared" si="0"/>
        <v>321.857923497268</v>
      </c>
      <c r="Q136" s="3">
        <f t="shared" si="1"/>
        <v>0.164227504244482</v>
      </c>
      <c r="R136" s="2">
        <v>269.0</v>
      </c>
      <c r="S136" s="2">
        <v>0.0</v>
      </c>
    </row>
    <row r="137" ht="17.0">
      <c r="A137" s="1" t="s">
        <v>92</v>
      </c>
      <c r="B137" s="1" t="s">
        <v>20</v>
      </c>
      <c r="C137" s="1" t="s">
        <v>21</v>
      </c>
      <c r="D137" s="1" t="s">
        <v>93</v>
      </c>
      <c r="E137" s="1" t="s">
        <v>284</v>
      </c>
      <c r="F137" s="1" t="s">
        <v>285</v>
      </c>
      <c r="G137" s="1" t="s">
        <v>24</v>
      </c>
      <c r="H137" s="1">
        <v>1.76</v>
      </c>
      <c r="I137" s="1" t="s">
        <v>273</v>
      </c>
      <c r="J137" s="1" t="s">
        <v>26</v>
      </c>
      <c r="K137" s="1" t="s">
        <v>58</v>
      </c>
      <c r="L137" s="1" t="s">
        <v>32</v>
      </c>
      <c r="M137" s="1" t="s">
        <v>220</v>
      </c>
      <c r="N137" s="1" t="s">
        <v>99</v>
      </c>
      <c r="O137" s="2">
        <v>599.0</v>
      </c>
      <c r="P137" s="2">
        <f t="shared" si="0"/>
        <v>340.340909090909</v>
      </c>
      <c r="Q137" s="3">
        <f t="shared" si="1"/>
        <v>0.209616026711184</v>
      </c>
      <c r="R137" s="2">
        <v>269.0</v>
      </c>
      <c r="S137" s="2">
        <v>249.0</v>
      </c>
    </row>
    <row r="138" ht="17.0">
      <c r="A138" s="1" t="s">
        <v>92</v>
      </c>
      <c r="B138" s="1" t="s">
        <v>20</v>
      </c>
      <c r="C138" s="1" t="s">
        <v>21</v>
      </c>
      <c r="D138" s="1" t="s">
        <v>93</v>
      </c>
      <c r="E138" s="1" t="s">
        <v>286</v>
      </c>
      <c r="F138" s="1" t="s">
        <v>287</v>
      </c>
      <c r="G138" s="1" t="s">
        <v>24</v>
      </c>
      <c r="H138" s="1">
        <v>1.83</v>
      </c>
      <c r="I138" s="1" t="s">
        <v>288</v>
      </c>
      <c r="J138" s="1" t="s">
        <v>26</v>
      </c>
      <c r="K138" s="1" t="s">
        <v>58</v>
      </c>
      <c r="L138" s="1" t="s">
        <v>32</v>
      </c>
      <c r="M138" s="1" t="s">
        <v>29</v>
      </c>
      <c r="N138" s="1" t="s">
        <v>99</v>
      </c>
      <c r="O138" s="2">
        <v>629.0</v>
      </c>
      <c r="P138" s="2">
        <f t="shared" si="0"/>
        <v>343.71584699453</v>
      </c>
      <c r="Q138" s="3">
        <f t="shared" si="1"/>
        <v>0.246470588235282</v>
      </c>
      <c r="R138" s="2">
        <v>259.0</v>
      </c>
      <c r="S138" s="2">
        <v>249.0</v>
      </c>
    </row>
    <row r="139" ht="17.0">
      <c r="A139" s="1" t="s">
        <v>92</v>
      </c>
      <c r="B139" s="1" t="s">
        <v>20</v>
      </c>
      <c r="C139" s="1" t="s">
        <v>21</v>
      </c>
      <c r="D139" s="1" t="s">
        <v>93</v>
      </c>
      <c r="E139" s="1" t="s">
        <v>289</v>
      </c>
      <c r="F139" s="1" t="s">
        <v>290</v>
      </c>
      <c r="G139" s="1" t="s">
        <v>24</v>
      </c>
      <c r="H139" s="1">
        <v>1.42</v>
      </c>
      <c r="I139" s="1" t="s">
        <v>278</v>
      </c>
      <c r="J139" s="1" t="s">
        <v>26</v>
      </c>
      <c r="K139" s="1" t="s">
        <v>42</v>
      </c>
      <c r="L139" s="1" t="s">
        <v>32</v>
      </c>
      <c r="M139" s="1" t="s">
        <v>29</v>
      </c>
      <c r="N139" s="1" t="s">
        <v>99</v>
      </c>
      <c r="O139" s="2">
        <v>559.0</v>
      </c>
      <c r="P139" s="2">
        <f t="shared" si="0"/>
        <v>393.66197183099</v>
      </c>
      <c r="Q139" s="3">
        <f t="shared" si="1"/>
        <v>0.342075134168164</v>
      </c>
      <c r="R139" s="2">
        <v>259.0</v>
      </c>
      <c r="S139" s="2">
        <v>229.0</v>
      </c>
    </row>
    <row r="140" ht="17.0">
      <c r="A140" s="1" t="s">
        <v>92</v>
      </c>
      <c r="B140" s="1" t="s">
        <v>20</v>
      </c>
      <c r="C140" s="1" t="s">
        <v>21</v>
      </c>
      <c r="D140" s="1" t="s">
        <v>93</v>
      </c>
      <c r="E140" s="1" t="s">
        <v>291</v>
      </c>
      <c r="F140" s="1" t="s">
        <v>292</v>
      </c>
      <c r="G140" s="1" t="s">
        <v>24</v>
      </c>
      <c r="H140" s="1">
        <v>1.42</v>
      </c>
      <c r="I140" s="1" t="s">
        <v>278</v>
      </c>
      <c r="J140" s="1" t="s">
        <v>26</v>
      </c>
      <c r="K140" s="1" t="s">
        <v>42</v>
      </c>
      <c r="L140" s="1" t="s">
        <v>32</v>
      </c>
      <c r="M140" s="1" t="s">
        <v>29</v>
      </c>
      <c r="N140" s="1" t="s">
        <v>99</v>
      </c>
      <c r="O140" s="2">
        <v>559.0</v>
      </c>
      <c r="P140" s="2">
        <f t="shared" si="0"/>
        <v>393.66197183099</v>
      </c>
      <c r="Q140" s="3">
        <f t="shared" si="1"/>
        <v>0.316672629695893</v>
      </c>
      <c r="R140" s="2">
        <v>269.0</v>
      </c>
      <c r="S140" s="2">
        <v>259.0</v>
      </c>
    </row>
    <row r="141" ht="17.0">
      <c r="A141" s="1" t="s">
        <v>19</v>
      </c>
      <c r="B141" s="1" t="s">
        <v>20</v>
      </c>
      <c r="C141" s="1" t="s">
        <v>21</v>
      </c>
      <c r="D141" s="1" t="s">
        <v>22</v>
      </c>
      <c r="E141" s="10">
        <v>5.22065441011481E14</v>
      </c>
      <c r="F141" s="1" t="s">
        <v>293</v>
      </c>
      <c r="G141" s="1" t="s">
        <v>24</v>
      </c>
      <c r="H141" s="1">
        <v>1.57</v>
      </c>
      <c r="I141" s="1" t="s">
        <v>294</v>
      </c>
      <c r="J141" s="1" t="s">
        <v>26</v>
      </c>
      <c r="K141" s="1" t="s">
        <v>282</v>
      </c>
      <c r="L141" s="1" t="s">
        <v>32</v>
      </c>
      <c r="M141" s="1" t="s">
        <v>29</v>
      </c>
      <c r="N141" s="1" t="s">
        <v>30</v>
      </c>
      <c r="O141" s="2">
        <v>529.0</v>
      </c>
      <c r="P141" s="2">
        <f t="shared" si="0"/>
        <v>336.94267515923</v>
      </c>
      <c r="Q141" s="3">
        <f t="shared" si="1"/>
        <v>0.171965973534958</v>
      </c>
      <c r="R141" s="2">
        <v>279.0</v>
      </c>
      <c r="S141" s="2">
        <v>0.0</v>
      </c>
    </row>
    <row r="142" ht="17.0">
      <c r="A142" s="1" t="s">
        <v>19</v>
      </c>
      <c r="B142" s="1" t="s">
        <v>20</v>
      </c>
      <c r="C142" s="1" t="s">
        <v>21</v>
      </c>
      <c r="D142" s="1" t="s">
        <v>22</v>
      </c>
      <c r="E142" s="10">
        <v>5.22065441567481E14</v>
      </c>
      <c r="F142" s="1" t="s">
        <v>295</v>
      </c>
      <c r="G142" s="1" t="s">
        <v>24</v>
      </c>
      <c r="H142" s="1">
        <v>1.57</v>
      </c>
      <c r="I142" s="1" t="s">
        <v>294</v>
      </c>
      <c r="J142" s="1" t="s">
        <v>26</v>
      </c>
      <c r="K142" s="1" t="s">
        <v>282</v>
      </c>
      <c r="L142" s="1" t="s">
        <v>32</v>
      </c>
      <c r="M142" s="1" t="s">
        <v>29</v>
      </c>
      <c r="N142" s="1" t="s">
        <v>30</v>
      </c>
      <c r="O142" s="2">
        <v>529.0</v>
      </c>
      <c r="P142" s="2">
        <f t="shared" si="0"/>
        <v>336.94267515923</v>
      </c>
      <c r="Q142" s="3">
        <f t="shared" si="1"/>
        <v>0.171965973534958</v>
      </c>
      <c r="R142" s="2">
        <v>279.0</v>
      </c>
      <c r="S142" s="2">
        <v>0.0</v>
      </c>
    </row>
    <row r="143" ht="17.0">
      <c r="A143" s="1" t="s">
        <v>19</v>
      </c>
      <c r="B143" s="1" t="s">
        <v>20</v>
      </c>
      <c r="C143" s="1" t="s">
        <v>21</v>
      </c>
      <c r="D143" s="1" t="s">
        <v>22</v>
      </c>
      <c r="E143" s="10">
        <v>5.22837438016271E14</v>
      </c>
      <c r="F143" s="1" t="s">
        <v>296</v>
      </c>
      <c r="G143" s="1" t="s">
        <v>24</v>
      </c>
      <c r="H143" s="1">
        <v>2.56</v>
      </c>
      <c r="I143" s="1" t="s">
        <v>297</v>
      </c>
      <c r="J143" s="1" t="s">
        <v>208</v>
      </c>
      <c r="K143" s="1" t="s">
        <v>27</v>
      </c>
      <c r="L143" s="1" t="s">
        <v>63</v>
      </c>
      <c r="M143" s="1" t="s">
        <v>209</v>
      </c>
      <c r="N143" s="1" t="s">
        <v>99</v>
      </c>
      <c r="O143" s="2">
        <v>1899.0</v>
      </c>
      <c r="P143" s="2">
        <f t="shared" si="0"/>
        <v>741.796875</v>
      </c>
      <c r="Q143" s="3">
        <f t="shared" si="1"/>
        <v>0.205982095839916</v>
      </c>
      <c r="R143" s="2">
        <v>589.0</v>
      </c>
      <c r="S143" s="2">
        <v>0.0</v>
      </c>
    </row>
    <row r="144" ht="17.0">
      <c r="A144" s="1" t="s">
        <v>19</v>
      </c>
      <c r="B144" s="1" t="s">
        <v>20</v>
      </c>
      <c r="C144" s="1" t="s">
        <v>21</v>
      </c>
      <c r="D144" s="1" t="s">
        <v>22</v>
      </c>
      <c r="E144" s="10">
        <v>5.20012403294211E14</v>
      </c>
      <c r="F144" s="1" t="s">
        <v>298</v>
      </c>
      <c r="G144" s="1" t="s">
        <v>24</v>
      </c>
      <c r="H144" s="1">
        <v>0.99</v>
      </c>
      <c r="I144" s="1" t="s">
        <v>299</v>
      </c>
      <c r="J144" s="1" t="s">
        <v>26</v>
      </c>
      <c r="K144" s="1" t="s">
        <v>58</v>
      </c>
      <c r="L144" s="1" t="s">
        <v>59</v>
      </c>
      <c r="M144" s="1" t="s">
        <v>29</v>
      </c>
      <c r="N144" s="1" t="s">
        <v>99</v>
      </c>
      <c r="O144" s="2">
        <v>359.0</v>
      </c>
      <c r="P144" s="2">
        <f t="shared" si="0"/>
        <v>362.626262626262</v>
      </c>
      <c r="Q144" s="3">
        <f t="shared" si="1"/>
        <v>0.203036211699162</v>
      </c>
      <c r="R144" s="2">
        <v>289.0</v>
      </c>
      <c r="S144" s="2">
        <v>0.0</v>
      </c>
    </row>
    <row r="145" ht="17.0">
      <c r="A145" s="1" t="s">
        <v>19</v>
      </c>
      <c r="B145" s="1" t="s">
        <v>20</v>
      </c>
      <c r="C145" s="1" t="s">
        <v>21</v>
      </c>
      <c r="D145" s="1" t="s">
        <v>22</v>
      </c>
      <c r="E145" s="10">
        <v>5.20012403284931E14</v>
      </c>
      <c r="F145" s="1" t="s">
        <v>300</v>
      </c>
      <c r="G145" s="1" t="s">
        <v>24</v>
      </c>
      <c r="H145" s="1">
        <v>1.49</v>
      </c>
      <c r="I145" s="1" t="s">
        <v>299</v>
      </c>
      <c r="J145" s="1" t="s">
        <v>26</v>
      </c>
      <c r="K145" s="1" t="s">
        <v>58</v>
      </c>
      <c r="L145" s="1" t="s">
        <v>28</v>
      </c>
      <c r="M145" s="1" t="s">
        <v>29</v>
      </c>
      <c r="N145" s="1" t="s">
        <v>99</v>
      </c>
      <c r="O145" s="2">
        <v>539.0</v>
      </c>
      <c r="P145" s="2">
        <f t="shared" si="0"/>
        <v>361.744966442953</v>
      </c>
      <c r="Q145" s="3">
        <f t="shared" si="1"/>
        <v>0.201094619666049</v>
      </c>
      <c r="R145" s="2">
        <v>289.0</v>
      </c>
      <c r="S145" s="2">
        <v>0.0</v>
      </c>
    </row>
    <row r="146" ht="17.0">
      <c r="A146" s="1" t="s">
        <v>19</v>
      </c>
      <c r="B146" s="1" t="s">
        <v>20</v>
      </c>
      <c r="C146" s="1" t="s">
        <v>21</v>
      </c>
      <c r="D146" s="1" t="s">
        <v>22</v>
      </c>
      <c r="E146" s="10">
        <v>5.20012403027931E14</v>
      </c>
      <c r="F146" s="1" t="s">
        <v>301</v>
      </c>
      <c r="G146" s="1" t="s">
        <v>24</v>
      </c>
      <c r="H146" s="1">
        <v>1.49</v>
      </c>
      <c r="I146" s="1" t="s">
        <v>299</v>
      </c>
      <c r="J146" s="1" t="s">
        <v>26</v>
      </c>
      <c r="K146" s="1" t="s">
        <v>58</v>
      </c>
      <c r="L146" s="1" t="s">
        <v>28</v>
      </c>
      <c r="M146" s="1" t="s">
        <v>29</v>
      </c>
      <c r="N146" s="1" t="s">
        <v>99</v>
      </c>
      <c r="O146" s="2">
        <v>539.0</v>
      </c>
      <c r="P146" s="2">
        <f t="shared" si="0"/>
        <v>361.744966442953</v>
      </c>
      <c r="Q146" s="3">
        <f t="shared" si="1"/>
        <v>0.201094619666049</v>
      </c>
      <c r="R146" s="2">
        <v>289.0</v>
      </c>
      <c r="S146" s="2">
        <v>0.0</v>
      </c>
    </row>
    <row r="147" ht="17.0">
      <c r="A147" s="1" t="s">
        <v>19</v>
      </c>
      <c r="B147" s="1" t="s">
        <v>20</v>
      </c>
      <c r="C147" s="1" t="s">
        <v>21</v>
      </c>
      <c r="D147" s="1" t="s">
        <v>22</v>
      </c>
      <c r="E147" s="10">
        <v>5.20012403810931E14</v>
      </c>
      <c r="F147" s="1" t="s">
        <v>302</v>
      </c>
      <c r="G147" s="1" t="s">
        <v>24</v>
      </c>
      <c r="H147" s="1">
        <v>1.49</v>
      </c>
      <c r="I147" s="1" t="s">
        <v>299</v>
      </c>
      <c r="J147" s="1" t="s">
        <v>26</v>
      </c>
      <c r="K147" s="1" t="s">
        <v>58</v>
      </c>
      <c r="L147" s="1" t="s">
        <v>32</v>
      </c>
      <c r="M147" s="1" t="s">
        <v>29</v>
      </c>
      <c r="N147" s="1" t="s">
        <v>99</v>
      </c>
      <c r="O147" s="2">
        <v>539.0</v>
      </c>
      <c r="P147" s="2">
        <f t="shared" si="0"/>
        <v>361.744966442953</v>
      </c>
      <c r="Q147" s="3">
        <f t="shared" si="1"/>
        <v>0.201094619666049</v>
      </c>
      <c r="R147" s="2">
        <v>289.0</v>
      </c>
      <c r="S147" s="2">
        <v>0.0</v>
      </c>
    </row>
    <row r="148" ht="17.0">
      <c r="A148" s="1" t="s">
        <v>19</v>
      </c>
      <c r="B148" s="1" t="s">
        <v>20</v>
      </c>
      <c r="C148" s="1" t="s">
        <v>21</v>
      </c>
      <c r="D148" s="1" t="s">
        <v>22</v>
      </c>
      <c r="E148" s="10">
        <v>5.20012402294921E14</v>
      </c>
      <c r="F148" s="1" t="s">
        <v>303</v>
      </c>
      <c r="G148" s="1" t="s">
        <v>24</v>
      </c>
      <c r="H148" s="1">
        <v>2.25</v>
      </c>
      <c r="I148" s="1" t="s">
        <v>304</v>
      </c>
      <c r="J148" s="1" t="s">
        <v>26</v>
      </c>
      <c r="K148" s="1" t="s">
        <v>58</v>
      </c>
      <c r="L148" s="1" t="s">
        <v>59</v>
      </c>
      <c r="M148" s="1" t="s">
        <v>29</v>
      </c>
      <c r="N148" s="1" t="s">
        <v>99</v>
      </c>
      <c r="O148" s="2">
        <v>809.0</v>
      </c>
      <c r="P148" s="2">
        <f t="shared" si="0"/>
        <v>359.555555555556</v>
      </c>
      <c r="Q148" s="3">
        <f t="shared" si="1"/>
        <v>0.196229913473425</v>
      </c>
      <c r="R148" s="2">
        <v>289.0</v>
      </c>
      <c r="S148" s="2">
        <v>0.0</v>
      </c>
    </row>
    <row r="149" ht="17.0">
      <c r="A149" s="1" t="s">
        <v>19</v>
      </c>
      <c r="B149" s="1" t="s">
        <v>20</v>
      </c>
      <c r="C149" s="1" t="s">
        <v>21</v>
      </c>
      <c r="D149" s="1" t="s">
        <v>22</v>
      </c>
      <c r="E149" s="10">
        <v>5.20012402027921E14</v>
      </c>
      <c r="F149" s="1" t="s">
        <v>305</v>
      </c>
      <c r="G149" s="1" t="s">
        <v>24</v>
      </c>
      <c r="H149" s="1">
        <v>2.25</v>
      </c>
      <c r="I149" s="1" t="s">
        <v>304</v>
      </c>
      <c r="J149" s="1" t="s">
        <v>26</v>
      </c>
      <c r="K149" s="1" t="s">
        <v>58</v>
      </c>
      <c r="L149" s="1" t="s">
        <v>28</v>
      </c>
      <c r="M149" s="1" t="s">
        <v>29</v>
      </c>
      <c r="N149" s="1" t="s">
        <v>99</v>
      </c>
      <c r="O149" s="2">
        <v>809.0</v>
      </c>
      <c r="P149" s="2">
        <f t="shared" si="0"/>
        <v>359.555555555556</v>
      </c>
      <c r="Q149" s="3">
        <f t="shared" si="1"/>
        <v>0.196229913473425</v>
      </c>
      <c r="R149" s="2">
        <v>289.0</v>
      </c>
      <c r="S149" s="2">
        <v>0.0</v>
      </c>
    </row>
    <row r="150" ht="17.0">
      <c r="A150" s="1" t="s">
        <v>19</v>
      </c>
      <c r="B150" s="1" t="s">
        <v>20</v>
      </c>
      <c r="C150" s="1" t="s">
        <v>21</v>
      </c>
      <c r="D150" s="1" t="s">
        <v>22</v>
      </c>
      <c r="E150" s="10">
        <v>5.20012402810921E14</v>
      </c>
      <c r="F150" s="1" t="s">
        <v>306</v>
      </c>
      <c r="G150" s="1" t="s">
        <v>24</v>
      </c>
      <c r="H150" s="1">
        <v>2.25</v>
      </c>
      <c r="I150" s="1" t="s">
        <v>304</v>
      </c>
      <c r="J150" s="1" t="s">
        <v>26</v>
      </c>
      <c r="K150" s="1" t="s">
        <v>58</v>
      </c>
      <c r="L150" s="1" t="s">
        <v>32</v>
      </c>
      <c r="M150" s="1" t="s">
        <v>29</v>
      </c>
      <c r="N150" s="1" t="s">
        <v>99</v>
      </c>
      <c r="O150" s="2">
        <v>809.0</v>
      </c>
      <c r="P150" s="2">
        <f t="shared" si="0"/>
        <v>359.555555555556</v>
      </c>
      <c r="Q150" s="3">
        <f t="shared" si="1"/>
        <v>0.196229913473425</v>
      </c>
      <c r="R150" s="2">
        <v>289.0</v>
      </c>
      <c r="S150" s="2">
        <v>0.0</v>
      </c>
    </row>
    <row r="151" ht="17.0">
      <c r="A151" s="1" t="s">
        <v>19</v>
      </c>
      <c r="B151" s="1" t="s">
        <v>20</v>
      </c>
      <c r="C151" s="1" t="s">
        <v>21</v>
      </c>
      <c r="D151" s="1" t="s">
        <v>22</v>
      </c>
      <c r="E151" s="10">
        <v>5.20012402284921E14</v>
      </c>
      <c r="F151" s="1" t="s">
        <v>307</v>
      </c>
      <c r="G151" s="1" t="s">
        <v>24</v>
      </c>
      <c r="H151" s="1">
        <v>2.25</v>
      </c>
      <c r="I151" s="1" t="s">
        <v>304</v>
      </c>
      <c r="J151" s="1" t="s">
        <v>26</v>
      </c>
      <c r="K151" s="1" t="s">
        <v>58</v>
      </c>
      <c r="L151" s="1" t="s">
        <v>28</v>
      </c>
      <c r="M151" s="1" t="s">
        <v>29</v>
      </c>
      <c r="N151" s="1" t="s">
        <v>99</v>
      </c>
      <c r="O151" s="2">
        <v>809.0</v>
      </c>
      <c r="P151" s="2">
        <f t="shared" si="0"/>
        <v>359.555555555556</v>
      </c>
      <c r="Q151" s="3">
        <f t="shared" si="1"/>
        <v>0.196229913473425</v>
      </c>
      <c r="R151" s="2">
        <v>289.0</v>
      </c>
      <c r="S151" s="2">
        <v>0.0</v>
      </c>
    </row>
    <row r="152" ht="17.0">
      <c r="A152" s="1" t="s">
        <v>19</v>
      </c>
      <c r="B152" s="1" t="s">
        <v>20</v>
      </c>
      <c r="C152" s="1" t="s">
        <v>21</v>
      </c>
      <c r="D152" s="1" t="s">
        <v>22</v>
      </c>
      <c r="E152" s="10">
        <v>5.22514254282681E14</v>
      </c>
      <c r="F152" s="1" t="s">
        <v>308</v>
      </c>
      <c r="G152" s="1" t="s">
        <v>24</v>
      </c>
      <c r="H152" s="1">
        <v>1.5</v>
      </c>
      <c r="I152" s="1" t="s">
        <v>309</v>
      </c>
      <c r="J152" s="1" t="s">
        <v>26</v>
      </c>
      <c r="K152" s="1" t="s">
        <v>27</v>
      </c>
      <c r="L152" s="1" t="s">
        <v>32</v>
      </c>
      <c r="M152" s="1" t="s">
        <v>29</v>
      </c>
      <c r="N152" s="1" t="s">
        <v>99</v>
      </c>
      <c r="O152" s="2">
        <v>539.0</v>
      </c>
      <c r="P152" s="2">
        <f t="shared" si="0"/>
        <v>359.333333333333</v>
      </c>
      <c r="Q152" s="3">
        <f t="shared" si="1"/>
        <v>0.195732838589981</v>
      </c>
      <c r="R152" s="2">
        <v>289.0</v>
      </c>
      <c r="S152" s="2">
        <v>0.0</v>
      </c>
    </row>
    <row r="153" ht="17.0">
      <c r="A153" s="1" t="s">
        <v>19</v>
      </c>
      <c r="B153" s="1" t="s">
        <v>20</v>
      </c>
      <c r="C153" s="1" t="s">
        <v>21</v>
      </c>
      <c r="D153" s="1" t="s">
        <v>22</v>
      </c>
      <c r="E153" s="10">
        <v>5.22370254011481E14</v>
      </c>
      <c r="F153" s="1" t="s">
        <v>310</v>
      </c>
      <c r="G153" s="1" t="s">
        <v>24</v>
      </c>
      <c r="H153" s="1">
        <v>1.5</v>
      </c>
      <c r="I153" s="1" t="s">
        <v>309</v>
      </c>
      <c r="J153" s="1" t="s">
        <v>26</v>
      </c>
      <c r="K153" s="1" t="s">
        <v>27</v>
      </c>
      <c r="L153" s="1" t="s">
        <v>32</v>
      </c>
      <c r="M153" s="1" t="s">
        <v>29</v>
      </c>
      <c r="N153" s="1" t="s">
        <v>99</v>
      </c>
      <c r="O153" s="2">
        <v>539.0</v>
      </c>
      <c r="P153" s="2">
        <f t="shared" si="0"/>
        <v>359.333333333333</v>
      </c>
      <c r="Q153" s="3">
        <f t="shared" si="1"/>
        <v>0.195732838589981</v>
      </c>
      <c r="R153" s="2">
        <v>289.0</v>
      </c>
      <c r="S153" s="2">
        <v>0.0</v>
      </c>
    </row>
    <row r="154" ht="17.0">
      <c r="A154" s="1" t="s">
        <v>19</v>
      </c>
      <c r="B154" s="1" t="s">
        <v>20</v>
      </c>
      <c r="C154" s="1" t="s">
        <v>21</v>
      </c>
      <c r="D154" s="1" t="s">
        <v>22</v>
      </c>
      <c r="E154" s="10">
        <v>5.22370254264481E14</v>
      </c>
      <c r="F154" s="1" t="s">
        <v>311</v>
      </c>
      <c r="G154" s="1" t="s">
        <v>24</v>
      </c>
      <c r="H154" s="1">
        <v>1.5</v>
      </c>
      <c r="I154" s="1" t="s">
        <v>309</v>
      </c>
      <c r="J154" s="1" t="s">
        <v>26</v>
      </c>
      <c r="K154" s="1" t="s">
        <v>27</v>
      </c>
      <c r="L154" s="1" t="s">
        <v>28</v>
      </c>
      <c r="M154" s="1" t="s">
        <v>29</v>
      </c>
      <c r="N154" s="1" t="s">
        <v>99</v>
      </c>
      <c r="O154" s="2">
        <v>539.0</v>
      </c>
      <c r="P154" s="2">
        <f t="shared" si="0"/>
        <v>359.333333333333</v>
      </c>
      <c r="Q154" s="3">
        <f t="shared" si="1"/>
        <v>0.195732838589981</v>
      </c>
      <c r="R154" s="2">
        <v>289.0</v>
      </c>
      <c r="S154" s="2">
        <v>0.0</v>
      </c>
    </row>
    <row r="155" ht="17.0">
      <c r="A155" s="1" t="s">
        <v>19</v>
      </c>
      <c r="B155" s="1" t="s">
        <v>20</v>
      </c>
      <c r="C155" s="1" t="s">
        <v>21</v>
      </c>
      <c r="D155" s="1" t="s">
        <v>22</v>
      </c>
      <c r="E155" s="10">
        <v>5.21921254282911E14</v>
      </c>
      <c r="F155" s="1" t="s">
        <v>312</v>
      </c>
      <c r="G155" s="1" t="s">
        <v>24</v>
      </c>
      <c r="H155" s="1">
        <v>2.0</v>
      </c>
      <c r="I155" s="1" t="s">
        <v>309</v>
      </c>
      <c r="J155" s="1" t="s">
        <v>26</v>
      </c>
      <c r="K155" s="1" t="s">
        <v>195</v>
      </c>
      <c r="L155" s="1" t="s">
        <v>32</v>
      </c>
      <c r="M155" s="1" t="s">
        <v>29</v>
      </c>
      <c r="N155" s="1" t="s">
        <v>99</v>
      </c>
      <c r="O155" s="2">
        <v>719.0</v>
      </c>
      <c r="P155" s="2">
        <f t="shared" si="0"/>
        <v>359.5</v>
      </c>
      <c r="Q155" s="3">
        <f t="shared" si="1"/>
        <v>0.196105702364394</v>
      </c>
      <c r="R155" s="2">
        <v>289.0</v>
      </c>
      <c r="S155" s="2">
        <v>0.0</v>
      </c>
    </row>
    <row r="156" ht="17.0">
      <c r="A156" s="1" t="s">
        <v>19</v>
      </c>
      <c r="B156" s="1" t="s">
        <v>20</v>
      </c>
      <c r="C156" s="1" t="s">
        <v>21</v>
      </c>
      <c r="D156" s="1" t="s">
        <v>22</v>
      </c>
      <c r="E156" s="10">
        <v>5.22683254478911E14</v>
      </c>
      <c r="F156" s="1" t="s">
        <v>313</v>
      </c>
      <c r="G156" s="1" t="s">
        <v>24</v>
      </c>
      <c r="H156" s="1">
        <v>2.0</v>
      </c>
      <c r="I156" s="1" t="s">
        <v>309</v>
      </c>
      <c r="J156" s="1" t="s">
        <v>26</v>
      </c>
      <c r="K156" s="1" t="s">
        <v>42</v>
      </c>
      <c r="L156" s="1" t="s">
        <v>32</v>
      </c>
      <c r="M156" s="1" t="s">
        <v>29</v>
      </c>
      <c r="N156" s="1" t="s">
        <v>99</v>
      </c>
      <c r="O156" s="2">
        <v>739.0</v>
      </c>
      <c r="P156" s="2">
        <f t="shared" si="0"/>
        <v>369.5</v>
      </c>
      <c r="Q156" s="3">
        <f t="shared" si="1"/>
        <v>0.21786197564276</v>
      </c>
      <c r="R156" s="2">
        <v>289.0</v>
      </c>
      <c r="S156" s="2">
        <v>0.0</v>
      </c>
    </row>
    <row r="157" ht="17.0">
      <c r="A157" s="1" t="s">
        <v>19</v>
      </c>
      <c r="B157" s="1" t="s">
        <v>20</v>
      </c>
      <c r="C157" s="1" t="s">
        <v>21</v>
      </c>
      <c r="D157" s="1" t="s">
        <v>22</v>
      </c>
      <c r="E157" s="10">
        <v>5.22515254863911E14</v>
      </c>
      <c r="F157" s="1" t="s">
        <v>314</v>
      </c>
      <c r="G157" s="1" t="s">
        <v>24</v>
      </c>
      <c r="H157" s="1">
        <v>2.0</v>
      </c>
      <c r="I157" s="1" t="s">
        <v>309</v>
      </c>
      <c r="J157" s="1" t="s">
        <v>26</v>
      </c>
      <c r="K157" s="1" t="s">
        <v>42</v>
      </c>
      <c r="L157" s="1" t="s">
        <v>32</v>
      </c>
      <c r="M157" s="1" t="s">
        <v>29</v>
      </c>
      <c r="N157" s="1" t="s">
        <v>99</v>
      </c>
      <c r="O157" s="2">
        <v>739.0</v>
      </c>
      <c r="P157" s="2">
        <f t="shared" si="0"/>
        <v>369.5</v>
      </c>
      <c r="Q157" s="3">
        <f t="shared" si="1"/>
        <v>0.21786197564276</v>
      </c>
      <c r="R157" s="2">
        <v>289.0</v>
      </c>
      <c r="S157" s="2">
        <v>0.0</v>
      </c>
    </row>
    <row r="158" ht="17.0">
      <c r="A158" s="1" t="s">
        <v>19</v>
      </c>
      <c r="B158" s="1" t="s">
        <v>20</v>
      </c>
      <c r="C158" s="1" t="s">
        <v>21</v>
      </c>
      <c r="D158" s="1" t="s">
        <v>22</v>
      </c>
      <c r="E158" s="10">
        <v>5.22799254011911E14</v>
      </c>
      <c r="F158" s="1" t="s">
        <v>315</v>
      </c>
      <c r="G158" s="1" t="s">
        <v>24</v>
      </c>
      <c r="H158" s="1">
        <v>2.0</v>
      </c>
      <c r="I158" s="1" t="s">
        <v>309</v>
      </c>
      <c r="J158" s="1" t="s">
        <v>26</v>
      </c>
      <c r="K158" s="1" t="s">
        <v>27</v>
      </c>
      <c r="L158" s="1" t="s">
        <v>32</v>
      </c>
      <c r="M158" s="1" t="s">
        <v>29</v>
      </c>
      <c r="N158" s="1" t="s">
        <v>99</v>
      </c>
      <c r="O158" s="2">
        <v>739.0</v>
      </c>
      <c r="P158" s="2">
        <f t="shared" si="0"/>
        <v>369.5</v>
      </c>
      <c r="Q158" s="3">
        <f t="shared" si="1"/>
        <v>0.21786197564276</v>
      </c>
      <c r="R158" s="2">
        <v>289.0</v>
      </c>
      <c r="S158" s="2">
        <v>0.0</v>
      </c>
    </row>
    <row r="159" ht="17.0">
      <c r="A159" s="1" t="s">
        <v>19</v>
      </c>
      <c r="B159" s="1" t="s">
        <v>20</v>
      </c>
      <c r="C159" s="1" t="s">
        <v>21</v>
      </c>
      <c r="D159" s="1" t="s">
        <v>22</v>
      </c>
      <c r="E159" s="10">
        <v>5.22513254282911E14</v>
      </c>
      <c r="F159" s="1" t="s">
        <v>316</v>
      </c>
      <c r="G159" s="1" t="s">
        <v>24</v>
      </c>
      <c r="H159" s="1">
        <v>2.0</v>
      </c>
      <c r="I159" s="1" t="s">
        <v>309</v>
      </c>
      <c r="J159" s="1" t="s">
        <v>26</v>
      </c>
      <c r="K159" s="1" t="s">
        <v>42</v>
      </c>
      <c r="L159" s="1" t="s">
        <v>32</v>
      </c>
      <c r="M159" s="1" t="s">
        <v>29</v>
      </c>
      <c r="N159" s="1" t="s">
        <v>99</v>
      </c>
      <c r="O159" s="2">
        <v>769.0</v>
      </c>
      <c r="P159" s="2">
        <f t="shared" si="0"/>
        <v>384.5</v>
      </c>
      <c r="Q159" s="3">
        <f t="shared" si="1"/>
        <v>0.248374512353707</v>
      </c>
      <c r="R159" s="2">
        <v>289.0</v>
      </c>
      <c r="S159" s="2">
        <v>0.0</v>
      </c>
    </row>
    <row r="160" ht="17.0">
      <c r="A160" s="1" t="s">
        <v>19</v>
      </c>
      <c r="B160" s="1" t="s">
        <v>20</v>
      </c>
      <c r="C160" s="1" t="s">
        <v>21</v>
      </c>
      <c r="D160" s="1" t="s">
        <v>22</v>
      </c>
      <c r="E160" s="10">
        <v>5.22187254806911E14</v>
      </c>
      <c r="F160" s="1" t="s">
        <v>317</v>
      </c>
      <c r="G160" s="1" t="s">
        <v>24</v>
      </c>
      <c r="H160" s="1">
        <v>2.0</v>
      </c>
      <c r="I160" s="1" t="s">
        <v>309</v>
      </c>
      <c r="J160" s="1" t="s">
        <v>26</v>
      </c>
      <c r="K160" s="1" t="s">
        <v>27</v>
      </c>
      <c r="L160" s="1" t="s">
        <v>32</v>
      </c>
      <c r="M160" s="1" t="s">
        <v>29</v>
      </c>
      <c r="N160" s="1" t="s">
        <v>99</v>
      </c>
      <c r="O160" s="2">
        <v>729.0</v>
      </c>
      <c r="P160" s="2">
        <f t="shared" si="0"/>
        <v>364.5</v>
      </c>
      <c r="Q160" s="3">
        <f t="shared" si="1"/>
        <v>0.20713305898491</v>
      </c>
      <c r="R160" s="2">
        <v>289.0</v>
      </c>
      <c r="S160" s="2">
        <v>0.0</v>
      </c>
    </row>
    <row r="161" ht="17.0">
      <c r="A161" s="1" t="s">
        <v>92</v>
      </c>
      <c r="B161" s="1" t="s">
        <v>20</v>
      </c>
      <c r="C161" s="1" t="s">
        <v>21</v>
      </c>
      <c r="D161" s="1" t="s">
        <v>93</v>
      </c>
      <c r="E161" s="1" t="s">
        <v>318</v>
      </c>
      <c r="F161" s="1" t="s">
        <v>319</v>
      </c>
      <c r="G161" s="1" t="s">
        <v>24</v>
      </c>
      <c r="H161" s="1">
        <v>1.83</v>
      </c>
      <c r="I161" s="1" t="s">
        <v>288</v>
      </c>
      <c r="J161" s="1" t="s">
        <v>26</v>
      </c>
      <c r="K161" s="1" t="s">
        <v>58</v>
      </c>
      <c r="L161" s="1" t="s">
        <v>59</v>
      </c>
      <c r="M161" s="1" t="s">
        <v>29</v>
      </c>
      <c r="N161" s="1" t="s">
        <v>99</v>
      </c>
      <c r="O161" s="2">
        <v>629.0</v>
      </c>
      <c r="P161" s="2">
        <f t="shared" si="0"/>
        <v>343.71584699453</v>
      </c>
      <c r="Q161" s="3">
        <f t="shared" si="1"/>
        <v>0.246470588235282</v>
      </c>
      <c r="R161" s="2">
        <v>259.0</v>
      </c>
      <c r="S161" s="2">
        <v>249.0</v>
      </c>
    </row>
    <row r="162" ht="17.0">
      <c r="A162" s="1" t="s">
        <v>92</v>
      </c>
      <c r="B162" s="1" t="s">
        <v>20</v>
      </c>
      <c r="C162" s="1" t="s">
        <v>21</v>
      </c>
      <c r="D162" s="1" t="s">
        <v>93</v>
      </c>
      <c r="E162" s="1" t="s">
        <v>320</v>
      </c>
      <c r="F162" s="1" t="s">
        <v>321</v>
      </c>
      <c r="G162" s="1" t="s">
        <v>24</v>
      </c>
      <c r="H162" s="1">
        <v>1.76</v>
      </c>
      <c r="I162" s="1" t="s">
        <v>273</v>
      </c>
      <c r="J162" s="1" t="s">
        <v>26</v>
      </c>
      <c r="K162" s="1" t="s">
        <v>58</v>
      </c>
      <c r="L162" s="1" t="s">
        <v>59</v>
      </c>
      <c r="M162" s="1" t="s">
        <v>220</v>
      </c>
      <c r="N162" s="1" t="s">
        <v>99</v>
      </c>
      <c r="O162" s="2">
        <v>629.0</v>
      </c>
      <c r="P162" s="2">
        <f t="shared" si="0"/>
        <v>357.386363636363</v>
      </c>
      <c r="Q162" s="3">
        <f t="shared" si="1"/>
        <v>0.275294117647058</v>
      </c>
      <c r="R162" s="2">
        <v>259.0</v>
      </c>
      <c r="S162" s="2">
        <v>229.0</v>
      </c>
    </row>
    <row r="163" ht="17.0">
      <c r="A163" s="1" t="s">
        <v>92</v>
      </c>
      <c r="B163" s="1" t="s">
        <v>20</v>
      </c>
      <c r="C163" s="1" t="s">
        <v>21</v>
      </c>
      <c r="D163" s="1" t="s">
        <v>93</v>
      </c>
      <c r="E163" s="1" t="s">
        <v>322</v>
      </c>
      <c r="F163" s="1" t="s">
        <v>323</v>
      </c>
      <c r="G163" s="1" t="s">
        <v>24</v>
      </c>
      <c r="H163" s="1">
        <v>1.42</v>
      </c>
      <c r="I163" s="1" t="s">
        <v>278</v>
      </c>
      <c r="J163" s="1" t="s">
        <v>26</v>
      </c>
      <c r="K163" s="1" t="s">
        <v>27</v>
      </c>
      <c r="L163" s="1" t="s">
        <v>56</v>
      </c>
      <c r="M163" s="1" t="s">
        <v>215</v>
      </c>
      <c r="N163" s="1" t="s">
        <v>99</v>
      </c>
      <c r="O163" s="2">
        <v>559.0</v>
      </c>
      <c r="P163" s="2">
        <f t="shared" si="0"/>
        <v>393.66197183099</v>
      </c>
      <c r="Q163" s="3">
        <f t="shared" si="1"/>
        <v>0.29127012522362</v>
      </c>
      <c r="R163" s="2">
        <v>279.0</v>
      </c>
      <c r="S163" s="2">
        <v>249.0</v>
      </c>
    </row>
    <row r="164" ht="17.0">
      <c r="A164" s="1" t="s">
        <v>92</v>
      </c>
      <c r="B164" s="1" t="s">
        <v>20</v>
      </c>
      <c r="C164" s="1" t="s">
        <v>21</v>
      </c>
      <c r="D164" s="1" t="s">
        <v>93</v>
      </c>
      <c r="E164" s="1" t="s">
        <v>324</v>
      </c>
      <c r="F164" s="1" t="s">
        <v>325</v>
      </c>
      <c r="G164" s="1" t="s">
        <v>24</v>
      </c>
      <c r="H164" s="1">
        <v>1.42</v>
      </c>
      <c r="I164" s="1" t="s">
        <v>278</v>
      </c>
      <c r="J164" s="1" t="s">
        <v>26</v>
      </c>
      <c r="K164" s="1" t="s">
        <v>42</v>
      </c>
      <c r="L164" s="1" t="s">
        <v>131</v>
      </c>
      <c r="M164" s="1" t="s">
        <v>220</v>
      </c>
      <c r="N164" s="1" t="s">
        <v>99</v>
      </c>
      <c r="O164" s="2">
        <v>459.0</v>
      </c>
      <c r="P164" s="2">
        <f t="shared" si="0"/>
        <v>323.239436619718</v>
      </c>
      <c r="Q164" s="3">
        <f t="shared" si="1"/>
        <v>0.105925925925924</v>
      </c>
      <c r="R164" s="2">
        <v>289.0</v>
      </c>
      <c r="S164" s="2">
        <v>249.0</v>
      </c>
    </row>
    <row r="165" ht="17.0">
      <c r="A165" s="1" t="s">
        <v>92</v>
      </c>
      <c r="B165" s="1" t="s">
        <v>20</v>
      </c>
      <c r="C165" s="1" t="s">
        <v>21</v>
      </c>
      <c r="D165" s="1" t="s">
        <v>93</v>
      </c>
      <c r="E165" s="1" t="s">
        <v>326</v>
      </c>
      <c r="F165" s="1" t="s">
        <v>327</v>
      </c>
      <c r="G165" s="1" t="s">
        <v>24</v>
      </c>
      <c r="H165" s="1">
        <v>1.42</v>
      </c>
      <c r="I165" s="1" t="s">
        <v>278</v>
      </c>
      <c r="J165" s="1" t="s">
        <v>26</v>
      </c>
      <c r="K165" s="1" t="s">
        <v>27</v>
      </c>
      <c r="L165" s="1" t="s">
        <v>97</v>
      </c>
      <c r="M165" s="1" t="s">
        <v>215</v>
      </c>
      <c r="N165" s="1" t="s">
        <v>99</v>
      </c>
      <c r="O165" s="2">
        <v>559.0</v>
      </c>
      <c r="P165" s="2">
        <f t="shared" si="0"/>
        <v>393.66197183099</v>
      </c>
      <c r="Q165" s="3">
        <f t="shared" si="1"/>
        <v>0.29127012522362</v>
      </c>
      <c r="R165" s="2">
        <v>279.0</v>
      </c>
      <c r="S165" s="2">
        <v>249.0</v>
      </c>
    </row>
    <row r="166" ht="17.0">
      <c r="A166" s="1" t="s">
        <v>92</v>
      </c>
      <c r="B166" s="1" t="s">
        <v>20</v>
      </c>
      <c r="C166" s="1" t="s">
        <v>21</v>
      </c>
      <c r="D166" s="1" t="s">
        <v>93</v>
      </c>
      <c r="E166" s="1" t="s">
        <v>328</v>
      </c>
      <c r="F166" s="1" t="s">
        <v>329</v>
      </c>
      <c r="G166" s="1" t="s">
        <v>24</v>
      </c>
      <c r="H166" s="1">
        <v>1.42</v>
      </c>
      <c r="I166" s="1" t="s">
        <v>278</v>
      </c>
      <c r="J166" s="1" t="s">
        <v>26</v>
      </c>
      <c r="K166" s="1" t="s">
        <v>27</v>
      </c>
      <c r="L166" s="1" t="s">
        <v>97</v>
      </c>
      <c r="M166" s="1" t="s">
        <v>98</v>
      </c>
      <c r="N166" s="1" t="s">
        <v>99</v>
      </c>
      <c r="O166" s="2">
        <v>459.0</v>
      </c>
      <c r="P166" s="2">
        <f t="shared" si="0"/>
        <v>323.239436619718</v>
      </c>
      <c r="Q166" s="3">
        <f t="shared" si="1"/>
        <v>0.105925925925924</v>
      </c>
      <c r="R166" s="2">
        <v>289.0</v>
      </c>
      <c r="S166" s="2">
        <v>269.0</v>
      </c>
    </row>
    <row r="167" ht="17.0">
      <c r="A167" s="1" t="s">
        <v>92</v>
      </c>
      <c r="B167" s="1" t="s">
        <v>20</v>
      </c>
      <c r="C167" s="1" t="s">
        <v>21</v>
      </c>
      <c r="D167" s="1" t="s">
        <v>93</v>
      </c>
      <c r="E167" s="1" t="s">
        <v>330</v>
      </c>
      <c r="F167" s="1" t="s">
        <v>331</v>
      </c>
      <c r="G167" s="1" t="s">
        <v>24</v>
      </c>
      <c r="H167" s="1">
        <v>1.42</v>
      </c>
      <c r="I167" s="1" t="s">
        <v>278</v>
      </c>
      <c r="J167" s="1" t="s">
        <v>26</v>
      </c>
      <c r="K167" s="1" t="s">
        <v>42</v>
      </c>
      <c r="L167" s="1" t="s">
        <v>32</v>
      </c>
      <c r="M167" s="1" t="s">
        <v>29</v>
      </c>
      <c r="N167" s="1" t="s">
        <v>99</v>
      </c>
      <c r="O167" s="2">
        <v>559.0</v>
      </c>
      <c r="P167" s="2">
        <f t="shared" si="0"/>
        <v>393.66197183099</v>
      </c>
      <c r="Q167" s="3">
        <f t="shared" si="1"/>
        <v>0.265867620751348</v>
      </c>
      <c r="R167" s="2">
        <v>289.0</v>
      </c>
      <c r="S167" s="2">
        <v>279.0</v>
      </c>
    </row>
    <row r="168" ht="17.0">
      <c r="A168" s="1" t="s">
        <v>92</v>
      </c>
      <c r="B168" s="1" t="s">
        <v>20</v>
      </c>
      <c r="C168" s="1" t="s">
        <v>21</v>
      </c>
      <c r="D168" s="1" t="s">
        <v>93</v>
      </c>
      <c r="E168" s="1" t="s">
        <v>332</v>
      </c>
      <c r="F168" s="1" t="s">
        <v>333</v>
      </c>
      <c r="G168" s="1" t="s">
        <v>24</v>
      </c>
      <c r="H168" s="1">
        <v>1.42</v>
      </c>
      <c r="I168" s="1" t="s">
        <v>278</v>
      </c>
      <c r="J168" s="1" t="s">
        <v>26</v>
      </c>
      <c r="K168" s="1" t="s">
        <v>42</v>
      </c>
      <c r="L168" s="1" t="s">
        <v>32</v>
      </c>
      <c r="M168" s="1" t="s">
        <v>29</v>
      </c>
      <c r="N168" s="1" t="s">
        <v>99</v>
      </c>
      <c r="O168" s="2">
        <v>559.0</v>
      </c>
      <c r="P168" s="2">
        <f t="shared" si="0"/>
        <v>393.66197183099</v>
      </c>
      <c r="Q168" s="3">
        <f t="shared" si="1"/>
        <v>0.265867620751348</v>
      </c>
      <c r="R168" s="2">
        <v>289.0</v>
      </c>
      <c r="S168" s="2">
        <v>279.0</v>
      </c>
    </row>
    <row r="169" ht="17.0">
      <c r="A169" s="1" t="s">
        <v>92</v>
      </c>
      <c r="B169" s="1" t="s">
        <v>20</v>
      </c>
      <c r="C169" s="1" t="s">
        <v>21</v>
      </c>
      <c r="D169" s="1" t="s">
        <v>93</v>
      </c>
      <c r="E169" s="1" t="s">
        <v>334</v>
      </c>
      <c r="F169" s="1" t="s">
        <v>335</v>
      </c>
      <c r="G169" s="1" t="s">
        <v>24</v>
      </c>
      <c r="H169" s="1">
        <v>1.42</v>
      </c>
      <c r="I169" s="1" t="s">
        <v>278</v>
      </c>
      <c r="J169" s="1" t="s">
        <v>26</v>
      </c>
      <c r="K169" s="1" t="s">
        <v>195</v>
      </c>
      <c r="L169" s="1" t="s">
        <v>131</v>
      </c>
      <c r="M169" s="1" t="s">
        <v>98</v>
      </c>
      <c r="N169" s="1" t="s">
        <v>99</v>
      </c>
      <c r="O169" s="2">
        <v>459.0</v>
      </c>
      <c r="P169" s="2">
        <f t="shared" si="0"/>
        <v>323.239436619718</v>
      </c>
      <c r="Q169" s="3">
        <f t="shared" si="1"/>
        <v>0.105925925925924</v>
      </c>
      <c r="R169" s="2">
        <v>289.0</v>
      </c>
      <c r="S169" s="2">
        <v>279.0</v>
      </c>
    </row>
    <row r="170" ht="17.0">
      <c r="A170" s="1" t="s">
        <v>92</v>
      </c>
      <c r="B170" s="1" t="s">
        <v>20</v>
      </c>
      <c r="C170" s="1" t="s">
        <v>21</v>
      </c>
      <c r="D170" s="1" t="s">
        <v>93</v>
      </c>
      <c r="E170" s="1" t="s">
        <v>336</v>
      </c>
      <c r="F170" s="1" t="s">
        <v>337</v>
      </c>
      <c r="G170" s="1" t="s">
        <v>24</v>
      </c>
      <c r="H170" s="1">
        <v>1.42</v>
      </c>
      <c r="I170" s="1" t="s">
        <v>278</v>
      </c>
      <c r="J170" s="1" t="s">
        <v>26</v>
      </c>
      <c r="K170" s="1" t="s">
        <v>27</v>
      </c>
      <c r="L170" s="1" t="s">
        <v>97</v>
      </c>
      <c r="M170" s="1" t="s">
        <v>98</v>
      </c>
      <c r="N170" s="1" t="s">
        <v>99</v>
      </c>
      <c r="O170" s="2">
        <v>459.0</v>
      </c>
      <c r="P170" s="2">
        <f t="shared" si="0"/>
        <v>323.239436619718</v>
      </c>
      <c r="Q170" s="3">
        <f t="shared" si="1"/>
        <v>0.105925925925924</v>
      </c>
      <c r="R170" s="2">
        <v>289.0</v>
      </c>
      <c r="S170" s="2">
        <v>259.0</v>
      </c>
    </row>
    <row r="171" ht="17.0">
      <c r="A171" s="1" t="s">
        <v>92</v>
      </c>
      <c r="B171" s="1" t="s">
        <v>20</v>
      </c>
      <c r="C171" s="1" t="s">
        <v>21</v>
      </c>
      <c r="D171" s="1" t="s">
        <v>93</v>
      </c>
      <c r="E171" s="1" t="s">
        <v>338</v>
      </c>
      <c r="F171" s="1" t="s">
        <v>339</v>
      </c>
      <c r="G171" s="1" t="s">
        <v>24</v>
      </c>
      <c r="H171" s="1">
        <v>1.42</v>
      </c>
      <c r="I171" s="1" t="s">
        <v>278</v>
      </c>
      <c r="J171" s="1" t="s">
        <v>26</v>
      </c>
      <c r="K171" s="1" t="s">
        <v>42</v>
      </c>
      <c r="L171" s="1" t="s">
        <v>63</v>
      </c>
      <c r="M171" s="1" t="s">
        <v>29</v>
      </c>
      <c r="N171" s="1" t="s">
        <v>99</v>
      </c>
      <c r="O171" s="2">
        <v>559.0</v>
      </c>
      <c r="P171" s="2">
        <f t="shared" si="0"/>
        <v>393.66197183099</v>
      </c>
      <c r="Q171" s="3">
        <f t="shared" si="1"/>
        <v>0.265867620751348</v>
      </c>
      <c r="R171" s="2">
        <v>289.0</v>
      </c>
      <c r="S171" s="2">
        <v>269.0</v>
      </c>
    </row>
    <row r="172" ht="17.0">
      <c r="A172" s="1" t="s">
        <v>19</v>
      </c>
      <c r="B172" s="1" t="s">
        <v>20</v>
      </c>
      <c r="C172" s="1" t="s">
        <v>21</v>
      </c>
      <c r="D172" s="1" t="s">
        <v>22</v>
      </c>
      <c r="E172" s="10">
        <v>5.22715254007911E14</v>
      </c>
      <c r="F172" s="1" t="s">
        <v>340</v>
      </c>
      <c r="G172" s="1" t="s">
        <v>24</v>
      </c>
      <c r="H172" s="1">
        <v>2.0</v>
      </c>
      <c r="I172" s="1" t="s">
        <v>309</v>
      </c>
      <c r="J172" s="1" t="s">
        <v>26</v>
      </c>
      <c r="K172" s="1" t="s">
        <v>27</v>
      </c>
      <c r="L172" s="1" t="s">
        <v>56</v>
      </c>
      <c r="M172" s="1" t="s">
        <v>209</v>
      </c>
      <c r="N172" s="1" t="s">
        <v>99</v>
      </c>
      <c r="O172" s="2">
        <v>729.0</v>
      </c>
      <c r="P172" s="2">
        <f t="shared" si="0"/>
        <v>364.5</v>
      </c>
      <c r="Q172" s="3">
        <f t="shared" si="1"/>
        <v>0.179698216735254</v>
      </c>
      <c r="R172" s="2">
        <v>299.0</v>
      </c>
      <c r="S172" s="2">
        <v>0.0</v>
      </c>
    </row>
    <row r="173" ht="17.0">
      <c r="A173" s="1" t="s">
        <v>19</v>
      </c>
      <c r="B173" s="1" t="s">
        <v>20</v>
      </c>
      <c r="C173" s="1" t="s">
        <v>21</v>
      </c>
      <c r="D173" s="1" t="s">
        <v>22</v>
      </c>
      <c r="E173" s="10">
        <v>5.22975254125911E14</v>
      </c>
      <c r="F173" s="1" t="s">
        <v>341</v>
      </c>
      <c r="G173" s="1" t="s">
        <v>24</v>
      </c>
      <c r="H173" s="1">
        <v>2.0</v>
      </c>
      <c r="I173" s="1" t="s">
        <v>309</v>
      </c>
      <c r="J173" s="1" t="s">
        <v>26</v>
      </c>
      <c r="K173" s="1" t="s">
        <v>27</v>
      </c>
      <c r="L173" s="1" t="s">
        <v>28</v>
      </c>
      <c r="M173" s="1" t="s">
        <v>209</v>
      </c>
      <c r="N173" s="1" t="s">
        <v>99</v>
      </c>
      <c r="O173" s="2">
        <v>729.0</v>
      </c>
      <c r="P173" s="2">
        <f t="shared" si="0"/>
        <v>364.5</v>
      </c>
      <c r="Q173" s="3">
        <f t="shared" si="1"/>
        <v>0.179698216735254</v>
      </c>
      <c r="R173" s="2">
        <v>299.0</v>
      </c>
      <c r="S173" s="2">
        <v>0.0</v>
      </c>
    </row>
    <row r="174" ht="17.0">
      <c r="A174" s="1" t="s">
        <v>19</v>
      </c>
      <c r="B174" s="1" t="s">
        <v>20</v>
      </c>
      <c r="C174" s="1" t="s">
        <v>21</v>
      </c>
      <c r="D174" s="1" t="s">
        <v>22</v>
      </c>
      <c r="E174" s="10">
        <v>5.22214254305911E14</v>
      </c>
      <c r="F174" s="1" t="s">
        <v>342</v>
      </c>
      <c r="G174" s="1" t="s">
        <v>24</v>
      </c>
      <c r="H174" s="1">
        <v>2.0</v>
      </c>
      <c r="I174" s="1" t="s">
        <v>309</v>
      </c>
      <c r="J174" s="1" t="s">
        <v>26</v>
      </c>
      <c r="K174" s="1" t="s">
        <v>27</v>
      </c>
      <c r="L174" s="1" t="s">
        <v>63</v>
      </c>
      <c r="M174" s="1" t="s">
        <v>209</v>
      </c>
      <c r="N174" s="1" t="s">
        <v>99</v>
      </c>
      <c r="O174" s="2">
        <v>729.0</v>
      </c>
      <c r="P174" s="2">
        <f t="shared" si="0"/>
        <v>364.5</v>
      </c>
      <c r="Q174" s="3">
        <f t="shared" si="1"/>
        <v>0.179698216735254</v>
      </c>
      <c r="R174" s="2">
        <v>299.0</v>
      </c>
      <c r="S174" s="2">
        <v>0.0</v>
      </c>
    </row>
    <row r="175" ht="17.0">
      <c r="A175" s="1" t="s">
        <v>19</v>
      </c>
      <c r="B175" s="1" t="s">
        <v>20</v>
      </c>
      <c r="C175" s="1" t="s">
        <v>21</v>
      </c>
      <c r="D175" s="1" t="s">
        <v>22</v>
      </c>
      <c r="E175" s="10">
        <v>5.22974254021911E14</v>
      </c>
      <c r="F175" s="1" t="s">
        <v>343</v>
      </c>
      <c r="G175" s="1" t="s">
        <v>24</v>
      </c>
      <c r="H175" s="1">
        <v>2.0</v>
      </c>
      <c r="I175" s="1" t="s">
        <v>309</v>
      </c>
      <c r="J175" s="1" t="s">
        <v>26</v>
      </c>
      <c r="K175" s="1" t="s">
        <v>27</v>
      </c>
      <c r="L175" s="1" t="s">
        <v>56</v>
      </c>
      <c r="M175" s="1" t="s">
        <v>209</v>
      </c>
      <c r="N175" s="1" t="s">
        <v>99</v>
      </c>
      <c r="O175" s="2">
        <v>729.0</v>
      </c>
      <c r="P175" s="2">
        <f t="shared" si="0"/>
        <v>364.5</v>
      </c>
      <c r="Q175" s="3">
        <f t="shared" si="1"/>
        <v>0.179698216735254</v>
      </c>
      <c r="R175" s="2">
        <v>299.0</v>
      </c>
      <c r="S175" s="2">
        <v>0.0</v>
      </c>
    </row>
    <row r="176" ht="17.0">
      <c r="A176" s="1" t="s">
        <v>19</v>
      </c>
      <c r="B176" s="1" t="s">
        <v>20</v>
      </c>
      <c r="C176" s="1" t="s">
        <v>21</v>
      </c>
      <c r="D176" s="1" t="s">
        <v>22</v>
      </c>
      <c r="E176" s="10">
        <v>5.22975254011911E14</v>
      </c>
      <c r="F176" s="1" t="s">
        <v>344</v>
      </c>
      <c r="G176" s="1" t="s">
        <v>24</v>
      </c>
      <c r="H176" s="1">
        <v>2.0</v>
      </c>
      <c r="I176" s="1" t="s">
        <v>309</v>
      </c>
      <c r="J176" s="1" t="s">
        <v>26</v>
      </c>
      <c r="K176" s="1" t="s">
        <v>27</v>
      </c>
      <c r="L176" s="1" t="s">
        <v>32</v>
      </c>
      <c r="M176" s="1" t="s">
        <v>209</v>
      </c>
      <c r="N176" s="1" t="s">
        <v>99</v>
      </c>
      <c r="O176" s="2">
        <v>729.0</v>
      </c>
      <c r="P176" s="2">
        <f t="shared" si="0"/>
        <v>364.5</v>
      </c>
      <c r="Q176" s="3">
        <f t="shared" si="1"/>
        <v>0.179698216735254</v>
      </c>
      <c r="R176" s="2">
        <v>299.0</v>
      </c>
      <c r="S176" s="2">
        <v>0.0</v>
      </c>
    </row>
    <row r="177" ht="17.0">
      <c r="A177" s="1" t="s">
        <v>19</v>
      </c>
      <c r="B177" s="1" t="s">
        <v>20</v>
      </c>
      <c r="C177" s="1" t="s">
        <v>21</v>
      </c>
      <c r="D177" s="1" t="s">
        <v>22</v>
      </c>
      <c r="E177" s="10">
        <v>5.22839353007271E14</v>
      </c>
      <c r="F177" s="1" t="s">
        <v>345</v>
      </c>
      <c r="G177" s="1" t="s">
        <v>24</v>
      </c>
      <c r="H177" s="1">
        <v>1.44</v>
      </c>
      <c r="I177" s="1" t="s">
        <v>207</v>
      </c>
      <c r="J177" s="1" t="s">
        <v>208</v>
      </c>
      <c r="K177" s="1" t="s">
        <v>27</v>
      </c>
      <c r="L177" s="1" t="s">
        <v>56</v>
      </c>
      <c r="M177" s="1" t="s">
        <v>209</v>
      </c>
      <c r="N177" s="1" t="s">
        <v>99</v>
      </c>
      <c r="O177" s="2">
        <v>709.0</v>
      </c>
      <c r="P177" s="2">
        <f t="shared" si="0"/>
        <v>492.361111111111</v>
      </c>
      <c r="Q177" s="3">
        <f t="shared" si="1"/>
        <v>0.230239774330041</v>
      </c>
      <c r="R177" s="2">
        <v>379.0</v>
      </c>
      <c r="S177" s="2">
        <v>0.0</v>
      </c>
    </row>
    <row r="178" ht="17.0">
      <c r="A178" s="1" t="s">
        <v>19</v>
      </c>
      <c r="B178" s="1" t="s">
        <v>20</v>
      </c>
      <c r="C178" s="1" t="s">
        <v>21</v>
      </c>
      <c r="D178" s="1" t="s">
        <v>22</v>
      </c>
      <c r="E178" s="10">
        <v>5.22990442067441E14</v>
      </c>
      <c r="F178" s="1" t="s">
        <v>346</v>
      </c>
      <c r="G178" s="1" t="s">
        <v>24</v>
      </c>
      <c r="H178" s="1">
        <v>1.44</v>
      </c>
      <c r="I178" s="1" t="s">
        <v>207</v>
      </c>
      <c r="J178" s="1" t="s">
        <v>208</v>
      </c>
      <c r="K178" s="1" t="s">
        <v>27</v>
      </c>
      <c r="L178" s="1" t="s">
        <v>56</v>
      </c>
      <c r="M178" s="1" t="s">
        <v>209</v>
      </c>
      <c r="N178" s="1" t="s">
        <v>99</v>
      </c>
      <c r="O178" s="2">
        <v>499.0</v>
      </c>
      <c r="P178" s="2">
        <f t="shared" si="0"/>
        <v>346.527777777778</v>
      </c>
      <c r="Q178" s="3">
        <f t="shared" si="1"/>
        <v>0.137154308617235</v>
      </c>
      <c r="R178" s="2">
        <v>299.0</v>
      </c>
      <c r="S178" s="2">
        <v>289.0</v>
      </c>
    </row>
    <row r="179" ht="17.0">
      <c r="A179" s="1" t="s">
        <v>92</v>
      </c>
      <c r="B179" s="1" t="s">
        <v>20</v>
      </c>
      <c r="C179" s="1" t="s">
        <v>21</v>
      </c>
      <c r="D179" s="1" t="s">
        <v>93</v>
      </c>
      <c r="E179" s="1" t="s">
        <v>347</v>
      </c>
      <c r="F179" s="1" t="s">
        <v>348</v>
      </c>
      <c r="G179" s="1" t="s">
        <v>24</v>
      </c>
      <c r="H179" s="1">
        <v>1.42</v>
      </c>
      <c r="I179" s="1" t="s">
        <v>278</v>
      </c>
      <c r="J179" s="1" t="s">
        <v>26</v>
      </c>
      <c r="K179" s="1" t="s">
        <v>42</v>
      </c>
      <c r="L179" s="1" t="s">
        <v>349</v>
      </c>
      <c r="M179" s="1" t="s">
        <v>29</v>
      </c>
      <c r="N179" s="1" t="s">
        <v>99</v>
      </c>
      <c r="O179" s="2">
        <v>559.0</v>
      </c>
      <c r="P179" s="2">
        <f t="shared" si="0"/>
        <v>393.66197183099</v>
      </c>
      <c r="Q179" s="3">
        <f t="shared" si="1"/>
        <v>0.240465116279076</v>
      </c>
      <c r="R179" s="2">
        <v>299.0</v>
      </c>
      <c r="S179" s="2">
        <v>259.0</v>
      </c>
    </row>
    <row r="180" ht="17.0">
      <c r="A180" s="1" t="s">
        <v>92</v>
      </c>
      <c r="B180" s="1" t="s">
        <v>20</v>
      </c>
      <c r="C180" s="1" t="s">
        <v>21</v>
      </c>
      <c r="D180" s="1" t="s">
        <v>93</v>
      </c>
      <c r="E180" s="1" t="s">
        <v>350</v>
      </c>
      <c r="F180" s="1" t="s">
        <v>351</v>
      </c>
      <c r="G180" s="1" t="s">
        <v>24</v>
      </c>
      <c r="H180" s="1">
        <v>1.42</v>
      </c>
      <c r="I180" s="1" t="s">
        <v>278</v>
      </c>
      <c r="J180" s="1" t="s">
        <v>26</v>
      </c>
      <c r="K180" s="1" t="s">
        <v>42</v>
      </c>
      <c r="L180" s="1" t="s">
        <v>32</v>
      </c>
      <c r="M180" s="1" t="s">
        <v>29</v>
      </c>
      <c r="N180" s="1" t="s">
        <v>99</v>
      </c>
      <c r="O180" s="2">
        <v>559.0</v>
      </c>
      <c r="P180" s="2">
        <f t="shared" si="0"/>
        <v>393.66197183099</v>
      </c>
      <c r="Q180" s="3">
        <f t="shared" si="1"/>
        <v>0.265867620751348</v>
      </c>
      <c r="R180" s="2">
        <v>289.0</v>
      </c>
      <c r="S180" s="2">
        <v>249.0</v>
      </c>
    </row>
    <row r="181" ht="17.0">
      <c r="A181" s="1" t="s">
        <v>92</v>
      </c>
      <c r="B181" s="1" t="s">
        <v>20</v>
      </c>
      <c r="C181" s="1" t="s">
        <v>21</v>
      </c>
      <c r="D181" s="1" t="s">
        <v>93</v>
      </c>
      <c r="E181" s="1" t="s">
        <v>352</v>
      </c>
      <c r="F181" s="1" t="s">
        <v>353</v>
      </c>
      <c r="G181" s="1" t="s">
        <v>24</v>
      </c>
      <c r="H181" s="1">
        <v>1.42</v>
      </c>
      <c r="I181" s="1" t="s">
        <v>278</v>
      </c>
      <c r="J181" s="1" t="s">
        <v>26</v>
      </c>
      <c r="K181" s="1" t="s">
        <v>42</v>
      </c>
      <c r="L181" s="1" t="s">
        <v>349</v>
      </c>
      <c r="M181" s="1" t="s">
        <v>29</v>
      </c>
      <c r="N181" s="1" t="s">
        <v>99</v>
      </c>
      <c r="O181" s="2">
        <v>579.0</v>
      </c>
      <c r="P181" s="2">
        <f t="shared" si="0"/>
        <v>407.74647887324</v>
      </c>
      <c r="Q181" s="3">
        <f t="shared" si="1"/>
        <v>0.29122625215889</v>
      </c>
      <c r="R181" s="2">
        <v>289.0</v>
      </c>
      <c r="S181" s="2">
        <v>249.0</v>
      </c>
    </row>
    <row r="182" ht="17.0">
      <c r="A182" s="1" t="s">
        <v>92</v>
      </c>
      <c r="B182" s="1" t="s">
        <v>20</v>
      </c>
      <c r="C182" s="1" t="s">
        <v>21</v>
      </c>
      <c r="D182" s="1" t="s">
        <v>93</v>
      </c>
      <c r="E182" s="1" t="s">
        <v>354</v>
      </c>
      <c r="F182" s="1" t="s">
        <v>355</v>
      </c>
      <c r="G182" s="1" t="s">
        <v>24</v>
      </c>
      <c r="H182" s="1">
        <v>1.42</v>
      </c>
      <c r="I182" s="1" t="s">
        <v>278</v>
      </c>
      <c r="J182" s="1" t="s">
        <v>26</v>
      </c>
      <c r="K182" s="1" t="s">
        <v>42</v>
      </c>
      <c r="L182" s="1" t="s">
        <v>349</v>
      </c>
      <c r="M182" s="1" t="s">
        <v>29</v>
      </c>
      <c r="N182" s="1" t="s">
        <v>99</v>
      </c>
      <c r="O182" s="2">
        <v>559.0</v>
      </c>
      <c r="P182" s="2">
        <f t="shared" si="0"/>
        <v>393.66197183099</v>
      </c>
      <c r="Q182" s="3">
        <f t="shared" si="1"/>
        <v>0.240465116279076</v>
      </c>
      <c r="R182" s="2">
        <v>299.0</v>
      </c>
      <c r="S182" s="2">
        <v>269.0</v>
      </c>
    </row>
    <row r="183" ht="17.0">
      <c r="A183" s="1" t="s">
        <v>92</v>
      </c>
      <c r="B183" s="1" t="s">
        <v>20</v>
      </c>
      <c r="C183" s="1" t="s">
        <v>21</v>
      </c>
      <c r="D183" s="1" t="s">
        <v>93</v>
      </c>
      <c r="E183" s="1" t="s">
        <v>356</v>
      </c>
      <c r="F183" s="1" t="s">
        <v>357</v>
      </c>
      <c r="G183" s="1" t="s">
        <v>24</v>
      </c>
      <c r="H183" s="1">
        <v>1.42</v>
      </c>
      <c r="I183" s="1" t="s">
        <v>278</v>
      </c>
      <c r="J183" s="1" t="s">
        <v>26</v>
      </c>
      <c r="K183" s="1" t="s">
        <v>27</v>
      </c>
      <c r="L183" s="1" t="s">
        <v>97</v>
      </c>
      <c r="M183" s="1" t="s">
        <v>98</v>
      </c>
      <c r="N183" s="1" t="s">
        <v>99</v>
      </c>
      <c r="O183" s="2">
        <v>559.0</v>
      </c>
      <c r="P183" s="2">
        <f t="shared" si="0"/>
        <v>393.66197183099</v>
      </c>
      <c r="Q183" s="3">
        <f t="shared" si="1"/>
        <v>0.240465116279076</v>
      </c>
      <c r="R183" s="2">
        <v>299.0</v>
      </c>
      <c r="S183" s="2">
        <v>269.0</v>
      </c>
    </row>
    <row r="184" ht="17.0">
      <c r="A184" s="1" t="s">
        <v>92</v>
      </c>
      <c r="B184" s="1" t="s">
        <v>20</v>
      </c>
      <c r="C184" s="1" t="s">
        <v>21</v>
      </c>
      <c r="D184" s="1" t="s">
        <v>93</v>
      </c>
      <c r="E184" s="1" t="s">
        <v>358</v>
      </c>
      <c r="F184" s="1" t="s">
        <v>359</v>
      </c>
      <c r="G184" s="1" t="s">
        <v>24</v>
      </c>
      <c r="H184" s="1">
        <v>1.42</v>
      </c>
      <c r="I184" s="1" t="s">
        <v>278</v>
      </c>
      <c r="J184" s="1" t="s">
        <v>26</v>
      </c>
      <c r="K184" s="1" t="s">
        <v>42</v>
      </c>
      <c r="L184" s="1" t="s">
        <v>32</v>
      </c>
      <c r="M184" s="1" t="s">
        <v>29</v>
      </c>
      <c r="N184" s="1" t="s">
        <v>99</v>
      </c>
      <c r="O184" s="2">
        <v>579.0</v>
      </c>
      <c r="P184" s="2">
        <f t="shared" si="0"/>
        <v>407.74647887324</v>
      </c>
      <c r="Q184" s="3">
        <f t="shared" si="1"/>
        <v>0.266701208981003</v>
      </c>
      <c r="R184" s="2">
        <v>299.0</v>
      </c>
      <c r="S184" s="2">
        <v>259.0</v>
      </c>
    </row>
    <row r="185" ht="17.0">
      <c r="A185" s="1" t="s">
        <v>92</v>
      </c>
      <c r="B185" s="1" t="s">
        <v>20</v>
      </c>
      <c r="C185" s="1" t="s">
        <v>21</v>
      </c>
      <c r="D185" s="1" t="s">
        <v>93</v>
      </c>
      <c r="E185" s="1" t="s">
        <v>360</v>
      </c>
      <c r="F185" s="1" t="s">
        <v>361</v>
      </c>
      <c r="G185" s="1" t="s">
        <v>24</v>
      </c>
      <c r="H185" s="1">
        <v>1.42</v>
      </c>
      <c r="I185" s="1" t="s">
        <v>278</v>
      </c>
      <c r="J185" s="1" t="s">
        <v>26</v>
      </c>
      <c r="K185" s="1" t="s">
        <v>42</v>
      </c>
      <c r="L185" s="1" t="s">
        <v>28</v>
      </c>
      <c r="M185" s="1" t="s">
        <v>29</v>
      </c>
      <c r="N185" s="1" t="s">
        <v>99</v>
      </c>
      <c r="O185" s="2">
        <v>559.0</v>
      </c>
      <c r="P185" s="2">
        <f t="shared" si="0"/>
        <v>393.66197183099</v>
      </c>
      <c r="Q185" s="3">
        <f t="shared" si="1"/>
        <v>0.240465116279076</v>
      </c>
      <c r="R185" s="2">
        <v>299.0</v>
      </c>
      <c r="S185" s="2">
        <v>285.0</v>
      </c>
    </row>
    <row r="186" ht="17.0">
      <c r="A186" s="1" t="s">
        <v>92</v>
      </c>
      <c r="B186" s="1" t="s">
        <v>20</v>
      </c>
      <c r="C186" s="1" t="s">
        <v>21</v>
      </c>
      <c r="D186" s="1" t="s">
        <v>93</v>
      </c>
      <c r="E186" s="1" t="s">
        <v>362</v>
      </c>
      <c r="F186" s="1" t="s">
        <v>363</v>
      </c>
      <c r="G186" s="1" t="s">
        <v>24</v>
      </c>
      <c r="H186" s="1">
        <v>1.42</v>
      </c>
      <c r="I186" s="1" t="s">
        <v>278</v>
      </c>
      <c r="J186" s="1" t="s">
        <v>26</v>
      </c>
      <c r="K186" s="1" t="s">
        <v>27</v>
      </c>
      <c r="L186" s="1" t="s">
        <v>32</v>
      </c>
      <c r="M186" s="1" t="s">
        <v>29</v>
      </c>
      <c r="N186" s="1" t="s">
        <v>99</v>
      </c>
      <c r="O186" s="2">
        <v>559.0</v>
      </c>
      <c r="P186" s="2">
        <f t="shared" si="0"/>
        <v>393.66197183099</v>
      </c>
      <c r="Q186" s="3">
        <f t="shared" si="1"/>
        <v>0.240465116279076</v>
      </c>
      <c r="R186" s="2">
        <v>299.0</v>
      </c>
      <c r="S186" s="2">
        <v>279.0</v>
      </c>
    </row>
    <row r="187" ht="17.0">
      <c r="A187" s="1" t="s">
        <v>19</v>
      </c>
      <c r="B187" s="1" t="s">
        <v>20</v>
      </c>
      <c r="C187" s="1" t="s">
        <v>21</v>
      </c>
      <c r="D187" s="1" t="s">
        <v>22</v>
      </c>
      <c r="E187" s="10">
        <v>5.22991442067441E14</v>
      </c>
      <c r="F187" s="1" t="s">
        <v>364</v>
      </c>
      <c r="G187" s="1" t="s">
        <v>24</v>
      </c>
      <c r="H187" s="1">
        <v>1.44</v>
      </c>
      <c r="I187" s="1" t="s">
        <v>207</v>
      </c>
      <c r="J187" s="1" t="s">
        <v>208</v>
      </c>
      <c r="K187" s="1" t="s">
        <v>27</v>
      </c>
      <c r="L187" s="1" t="s">
        <v>32</v>
      </c>
      <c r="M187" s="1" t="s">
        <v>209</v>
      </c>
      <c r="N187" s="1" t="s">
        <v>99</v>
      </c>
      <c r="O187" s="2">
        <v>499.0</v>
      </c>
      <c r="P187" s="2">
        <f t="shared" si="0"/>
        <v>346.527777777778</v>
      </c>
      <c r="Q187" s="3">
        <f t="shared" si="1"/>
        <v>0.137154308617235</v>
      </c>
      <c r="R187" s="2">
        <v>299.0</v>
      </c>
      <c r="S187" s="2">
        <v>0.0</v>
      </c>
    </row>
    <row r="188" ht="17.0">
      <c r="A188" s="1" t="s">
        <v>19</v>
      </c>
      <c r="B188" s="1" t="s">
        <v>20</v>
      </c>
      <c r="C188" s="1" t="s">
        <v>21</v>
      </c>
      <c r="D188" s="1" t="s">
        <v>22</v>
      </c>
      <c r="E188" s="10">
        <v>5.22834254567711E14</v>
      </c>
      <c r="F188" s="1" t="s">
        <v>365</v>
      </c>
      <c r="G188" s="1" t="s">
        <v>24</v>
      </c>
      <c r="H188" s="1">
        <v>1.5</v>
      </c>
      <c r="I188" s="1" t="s">
        <v>309</v>
      </c>
      <c r="J188" s="1" t="s">
        <v>26</v>
      </c>
      <c r="K188" s="1" t="s">
        <v>42</v>
      </c>
      <c r="L188" s="1" t="s">
        <v>32</v>
      </c>
      <c r="M188" s="1" t="s">
        <v>29</v>
      </c>
      <c r="N188" s="1" t="s">
        <v>99</v>
      </c>
      <c r="O188" s="2">
        <v>559.0</v>
      </c>
      <c r="P188" s="2">
        <f t="shared" si="0"/>
        <v>372.666666666667</v>
      </c>
      <c r="Q188" s="3">
        <f t="shared" si="1"/>
        <v>0.170840787119856</v>
      </c>
      <c r="R188" s="2">
        <v>309.0</v>
      </c>
      <c r="S188" s="2">
        <v>0.0</v>
      </c>
    </row>
    <row r="189" ht="17.0">
      <c r="A189" s="1" t="s">
        <v>92</v>
      </c>
      <c r="B189" s="1" t="s">
        <v>20</v>
      </c>
      <c r="C189" s="1" t="s">
        <v>21</v>
      </c>
      <c r="D189" s="1" t="s">
        <v>93</v>
      </c>
      <c r="E189" s="1" t="s">
        <v>366</v>
      </c>
      <c r="F189" s="1" t="s">
        <v>367</v>
      </c>
      <c r="G189" s="1" t="s">
        <v>24</v>
      </c>
      <c r="H189" s="1">
        <v>1.42</v>
      </c>
      <c r="I189" s="1" t="s">
        <v>278</v>
      </c>
      <c r="J189" s="1" t="s">
        <v>26</v>
      </c>
      <c r="K189" s="1" t="s">
        <v>27</v>
      </c>
      <c r="L189" s="1" t="s">
        <v>368</v>
      </c>
      <c r="M189" s="1" t="s">
        <v>29</v>
      </c>
      <c r="N189" s="1" t="s">
        <v>99</v>
      </c>
      <c r="O189" s="2">
        <v>559.0</v>
      </c>
      <c r="P189" s="2">
        <f t="shared" si="0"/>
        <v>393.66197183099</v>
      </c>
      <c r="Q189" s="3">
        <f t="shared" si="1"/>
        <v>0.215062611806804</v>
      </c>
      <c r="R189" s="2">
        <v>309.0</v>
      </c>
      <c r="S189" s="2">
        <v>289.0</v>
      </c>
    </row>
    <row r="190" ht="17.0">
      <c r="A190" s="1" t="s">
        <v>369</v>
      </c>
      <c r="B190" s="1" t="s">
        <v>20</v>
      </c>
      <c r="C190" s="1" t="s">
        <v>21</v>
      </c>
      <c r="D190" s="1" t="s">
        <v>370</v>
      </c>
      <c r="E190" s="1" t="s">
        <v>371</v>
      </c>
      <c r="F190" s="1" t="s">
        <v>372</v>
      </c>
      <c r="G190" s="1" t="s">
        <v>24</v>
      </c>
      <c r="H190" s="1">
        <v>1.44</v>
      </c>
      <c r="I190" s="1" t="s">
        <v>278</v>
      </c>
      <c r="J190" s="1" t="s">
        <v>208</v>
      </c>
      <c r="K190" s="1" t="s">
        <v>61</v>
      </c>
      <c r="L190" s="1" t="s">
        <v>28</v>
      </c>
      <c r="M190" s="1" t="s">
        <v>209</v>
      </c>
      <c r="N190" s="1" t="s">
        <v>99</v>
      </c>
      <c r="O190" s="2">
        <v>984.43</v>
      </c>
      <c r="P190" s="2">
        <f t="shared" si="0"/>
        <v>683.631944444444</v>
      </c>
      <c r="Q190" s="3">
        <f t="shared" si="1"/>
        <v>0.445608118403543</v>
      </c>
      <c r="R190" s="2">
        <v>379.0</v>
      </c>
      <c r="S190" s="2">
        <v>369.0</v>
      </c>
    </row>
    <row r="191" ht="17.0">
      <c r="A191" s="1" t="s">
        <v>45</v>
      </c>
      <c r="B191" s="1" t="s">
        <v>20</v>
      </c>
      <c r="C191" s="1" t="s">
        <v>21</v>
      </c>
      <c r="D191" s="1" t="s">
        <v>46</v>
      </c>
      <c r="E191" s="1" t="s">
        <v>373</v>
      </c>
      <c r="F191" s="1" t="s">
        <v>374</v>
      </c>
      <c r="G191" s="1" t="s">
        <v>24</v>
      </c>
      <c r="H191" s="1">
        <v>1.8</v>
      </c>
      <c r="I191" s="1" t="s">
        <v>256</v>
      </c>
      <c r="J191" s="1" t="s">
        <v>26</v>
      </c>
      <c r="K191" s="1" t="s">
        <v>42</v>
      </c>
      <c r="L191" s="1" t="s">
        <v>63</v>
      </c>
      <c r="M191" s="1" t="s">
        <v>29</v>
      </c>
      <c r="N191" s="1" t="s">
        <v>99</v>
      </c>
      <c r="O191" s="2">
        <v>629.0</v>
      </c>
      <c r="P191" s="2">
        <f t="shared" si="0"/>
        <v>349.444444444444</v>
      </c>
      <c r="Q191" s="3">
        <f t="shared" si="1"/>
        <v>0.115739268680444</v>
      </c>
      <c r="R191" s="2">
        <v>309.0</v>
      </c>
      <c r="S191" s="2">
        <f>R191-10</f>
        <v>299.0</v>
      </c>
    </row>
    <row r="192" ht="17.0">
      <c r="A192" s="1" t="s">
        <v>369</v>
      </c>
      <c r="B192" s="1" t="s">
        <v>20</v>
      </c>
      <c r="C192" s="1" t="s">
        <v>21</v>
      </c>
      <c r="D192" s="1" t="s">
        <v>370</v>
      </c>
      <c r="E192" s="1" t="s">
        <v>375</v>
      </c>
      <c r="F192" s="1" t="s">
        <v>376</v>
      </c>
      <c r="G192" s="1" t="s">
        <v>24</v>
      </c>
      <c r="H192" s="1">
        <v>1.44</v>
      </c>
      <c r="I192" s="1" t="s">
        <v>278</v>
      </c>
      <c r="J192" s="1" t="s">
        <v>208</v>
      </c>
      <c r="K192" s="1" t="s">
        <v>27</v>
      </c>
      <c r="L192" s="1" t="s">
        <v>97</v>
      </c>
      <c r="M192" s="1" t="s">
        <v>209</v>
      </c>
      <c r="N192" s="1" t="s">
        <v>99</v>
      </c>
      <c r="O192" s="2">
        <v>984.43</v>
      </c>
      <c r="P192" s="2">
        <f t="shared" si="0"/>
        <v>683.631944444444</v>
      </c>
      <c r="Q192" s="3">
        <f t="shared" si="1"/>
        <v>0.533374643194539</v>
      </c>
      <c r="R192" s="2">
        <v>319.0</v>
      </c>
    </row>
    <row r="193" ht="17.0">
      <c r="A193" s="1" t="s">
        <v>369</v>
      </c>
      <c r="B193" s="1" t="s">
        <v>20</v>
      </c>
      <c r="C193" s="1" t="s">
        <v>21</v>
      </c>
      <c r="D193" s="1" t="s">
        <v>370</v>
      </c>
      <c r="E193" s="1" t="s">
        <v>377</v>
      </c>
      <c r="F193" s="1" t="s">
        <v>378</v>
      </c>
      <c r="G193" s="1" t="s">
        <v>24</v>
      </c>
      <c r="H193" s="1">
        <v>1.44</v>
      </c>
      <c r="I193" s="1" t="s">
        <v>278</v>
      </c>
      <c r="J193" s="1" t="s">
        <v>208</v>
      </c>
      <c r="K193" s="1" t="s">
        <v>27</v>
      </c>
      <c r="L193" s="1" t="s">
        <v>63</v>
      </c>
      <c r="M193" s="1" t="s">
        <v>29</v>
      </c>
      <c r="N193" s="1" t="s">
        <v>99</v>
      </c>
      <c r="O193" s="2">
        <v>984.43</v>
      </c>
      <c r="P193" s="2">
        <f t="shared" si="0"/>
        <v>683.631944444444</v>
      </c>
      <c r="Q193" s="3">
        <f t="shared" si="1"/>
        <v>0.474863626667208</v>
      </c>
      <c r="R193" s="2">
        <v>359.0</v>
      </c>
      <c r="S193" s="2">
        <v>349.0</v>
      </c>
    </row>
    <row r="194" ht="17.0">
      <c r="A194" s="1" t="s">
        <v>369</v>
      </c>
      <c r="B194" s="1" t="s">
        <v>20</v>
      </c>
      <c r="C194" s="1" t="s">
        <v>21</v>
      </c>
      <c r="D194" s="1" t="s">
        <v>370</v>
      </c>
      <c r="E194" s="1" t="s">
        <v>379</v>
      </c>
      <c r="F194" s="1" t="s">
        <v>380</v>
      </c>
      <c r="G194" s="1" t="s">
        <v>24</v>
      </c>
      <c r="H194" s="1">
        <v>1.44</v>
      </c>
      <c r="I194" s="1" t="s">
        <v>278</v>
      </c>
      <c r="J194" s="1" t="s">
        <v>208</v>
      </c>
      <c r="K194" s="1" t="s">
        <v>27</v>
      </c>
      <c r="L194" s="1" t="s">
        <v>97</v>
      </c>
      <c r="M194" s="1" t="s">
        <v>29</v>
      </c>
      <c r="N194" s="1" t="s">
        <v>99</v>
      </c>
      <c r="O194" s="2">
        <v>984.43</v>
      </c>
      <c r="P194" s="2">
        <f t="shared" si="0"/>
        <v>683.631944444444</v>
      </c>
      <c r="Q194" s="3">
        <f t="shared" si="1"/>
        <v>0.562630151458203</v>
      </c>
      <c r="R194" s="2">
        <v>299.0</v>
      </c>
      <c r="S194" s="2">
        <v>289.0</v>
      </c>
    </row>
    <row r="195" ht="17.0">
      <c r="A195" s="1" t="s">
        <v>369</v>
      </c>
      <c r="B195" s="1" t="s">
        <v>20</v>
      </c>
      <c r="C195" s="1" t="s">
        <v>21</v>
      </c>
      <c r="D195" s="1" t="s">
        <v>370</v>
      </c>
      <c r="E195" s="1" t="s">
        <v>381</v>
      </c>
      <c r="F195" s="1" t="s">
        <v>382</v>
      </c>
      <c r="G195" s="1" t="s">
        <v>24</v>
      </c>
      <c r="H195" s="1">
        <v>1.44</v>
      </c>
      <c r="I195" s="1" t="s">
        <v>104</v>
      </c>
      <c r="J195" s="1" t="s">
        <v>208</v>
      </c>
      <c r="K195" s="1" t="s">
        <v>27</v>
      </c>
      <c r="L195" s="1" t="s">
        <v>32</v>
      </c>
      <c r="M195" s="1" t="s">
        <v>209</v>
      </c>
      <c r="N195" s="1" t="s">
        <v>99</v>
      </c>
      <c r="O195" s="2">
        <v>879.89</v>
      </c>
      <c r="P195" s="2">
        <f t="shared" si="0"/>
        <v>611.034722222222</v>
      </c>
      <c r="Q195" s="3">
        <f t="shared" si="1"/>
        <v>0.494300423916626</v>
      </c>
      <c r="R195" s="2">
        <v>309.0</v>
      </c>
      <c r="S195" s="2">
        <v>299.0</v>
      </c>
    </row>
    <row r="196" ht="17.0">
      <c r="A196" s="1" t="s">
        <v>45</v>
      </c>
      <c r="B196" s="1" t="s">
        <v>20</v>
      </c>
      <c r="C196" s="1" t="s">
        <v>21</v>
      </c>
      <c r="D196" s="1" t="s">
        <v>46</v>
      </c>
      <c r="E196" s="1" t="s">
        <v>383</v>
      </c>
      <c r="F196" s="1" t="s">
        <v>384</v>
      </c>
      <c r="G196" s="1" t="s">
        <v>24</v>
      </c>
      <c r="H196" s="1">
        <v>1.2</v>
      </c>
      <c r="I196" s="1" t="s">
        <v>385</v>
      </c>
      <c r="J196" s="1" t="s">
        <v>26</v>
      </c>
      <c r="K196" s="1" t="s">
        <v>42</v>
      </c>
      <c r="L196" s="1" t="s">
        <v>56</v>
      </c>
      <c r="M196" s="1" t="s">
        <v>29</v>
      </c>
      <c r="N196" s="1" t="s">
        <v>30</v>
      </c>
      <c r="O196" s="2">
        <v>469.0</v>
      </c>
      <c r="P196" s="2">
        <f t="shared" si="0"/>
        <v>390.833333333333</v>
      </c>
      <c r="Q196" s="3">
        <f t="shared" si="1"/>
        <v>0.15820895522388</v>
      </c>
      <c r="R196" s="2">
        <v>329.0</v>
      </c>
      <c r="S196" s="2">
        <f>R196-10</f>
        <v>319.0</v>
      </c>
    </row>
    <row r="197" ht="17.0">
      <c r="A197" s="1" t="s">
        <v>369</v>
      </c>
      <c r="B197" s="1" t="s">
        <v>20</v>
      </c>
      <c r="C197" s="1" t="s">
        <v>21</v>
      </c>
      <c r="D197" s="1" t="s">
        <v>370</v>
      </c>
      <c r="E197" s="1" t="s">
        <v>386</v>
      </c>
      <c r="F197" s="1" t="s">
        <v>387</v>
      </c>
      <c r="G197" s="1" t="s">
        <v>24</v>
      </c>
      <c r="H197" s="1">
        <v>1.44</v>
      </c>
      <c r="I197" s="1" t="s">
        <v>104</v>
      </c>
      <c r="J197" s="1" t="s">
        <v>208</v>
      </c>
      <c r="K197" s="1" t="s">
        <v>27</v>
      </c>
      <c r="L197" s="1" t="s">
        <v>97</v>
      </c>
      <c r="M197" s="1" t="s">
        <v>209</v>
      </c>
      <c r="N197" s="1" t="s">
        <v>99</v>
      </c>
      <c r="O197" s="2">
        <v>879.89</v>
      </c>
      <c r="P197" s="2">
        <f t="shared" si="0"/>
        <v>611.034722222222</v>
      </c>
      <c r="Q197" s="3">
        <f t="shared" si="1"/>
        <v>0.445203377694939</v>
      </c>
      <c r="R197" s="2">
        <v>339.0</v>
      </c>
      <c r="S197" s="2">
        <v>329.0</v>
      </c>
    </row>
    <row r="198" ht="17.0">
      <c r="A198" s="1" t="s">
        <v>19</v>
      </c>
      <c r="B198" s="1" t="s">
        <v>20</v>
      </c>
      <c r="C198" s="1" t="s">
        <v>21</v>
      </c>
      <c r="D198" s="1" t="s">
        <v>22</v>
      </c>
      <c r="E198" s="10">
        <v>5.20904419305271E14</v>
      </c>
      <c r="F198" s="1" t="s">
        <v>388</v>
      </c>
      <c r="G198" s="1" t="s">
        <v>24</v>
      </c>
      <c r="H198" s="1">
        <v>1.5</v>
      </c>
      <c r="I198" s="1" t="s">
        <v>389</v>
      </c>
      <c r="J198" s="1" t="s">
        <v>26</v>
      </c>
      <c r="K198" s="1" t="s">
        <v>27</v>
      </c>
      <c r="L198" s="1" t="s">
        <v>63</v>
      </c>
      <c r="M198" s="1" t="s">
        <v>29</v>
      </c>
      <c r="N198" s="1" t="s">
        <v>99</v>
      </c>
      <c r="O198" s="2">
        <v>629.0</v>
      </c>
      <c r="P198" s="2">
        <f t="shared" si="0"/>
        <v>419.333333333333</v>
      </c>
      <c r="Q198" s="3">
        <f t="shared" si="1"/>
        <v>0.191573926868043</v>
      </c>
      <c r="R198" s="2">
        <v>339.0</v>
      </c>
      <c r="S198" s="2">
        <v>0.0</v>
      </c>
    </row>
    <row r="199" ht="17.0">
      <c r="A199" s="1" t="s">
        <v>45</v>
      </c>
      <c r="B199" s="1" t="s">
        <v>20</v>
      </c>
      <c r="C199" s="1" t="s">
        <v>21</v>
      </c>
      <c r="D199" s="1" t="s">
        <v>46</v>
      </c>
      <c r="E199" s="1" t="s">
        <v>390</v>
      </c>
      <c r="F199" s="1" t="s">
        <v>391</v>
      </c>
      <c r="G199" s="1" t="s">
        <v>24</v>
      </c>
      <c r="H199" s="1">
        <v>1.8</v>
      </c>
      <c r="I199" s="1" t="s">
        <v>256</v>
      </c>
      <c r="J199" s="1" t="s">
        <v>26</v>
      </c>
      <c r="K199" s="1" t="s">
        <v>226</v>
      </c>
      <c r="L199" s="1" t="s">
        <v>234</v>
      </c>
      <c r="M199" s="1" t="s">
        <v>29</v>
      </c>
      <c r="N199" s="1" t="s">
        <v>99</v>
      </c>
      <c r="O199" s="2">
        <v>699.0</v>
      </c>
      <c r="P199" s="2">
        <f t="shared" si="0"/>
        <v>388.333333333333</v>
      </c>
      <c r="Q199" s="3">
        <f t="shared" si="1"/>
        <v>0.12703862660944</v>
      </c>
      <c r="R199" s="2">
        <v>339.0</v>
      </c>
      <c r="S199" s="2">
        <f t="shared" ref="S199:S200" si="11">R199-10</f>
        <v>329.0</v>
      </c>
    </row>
    <row r="200" ht="17.0">
      <c r="A200" s="1" t="s">
        <v>45</v>
      </c>
      <c r="B200" s="1" t="s">
        <v>20</v>
      </c>
      <c r="C200" s="1" t="s">
        <v>21</v>
      </c>
      <c r="D200" s="1" t="s">
        <v>46</v>
      </c>
      <c r="E200" s="1" t="s">
        <v>392</v>
      </c>
      <c r="F200" s="1" t="s">
        <v>393</v>
      </c>
      <c r="G200" s="1" t="s">
        <v>24</v>
      </c>
      <c r="H200" s="1">
        <v>1.8</v>
      </c>
      <c r="I200" s="1" t="s">
        <v>256</v>
      </c>
      <c r="J200" s="1" t="s">
        <v>26</v>
      </c>
      <c r="K200" s="1" t="s">
        <v>226</v>
      </c>
      <c r="L200" s="1" t="s">
        <v>234</v>
      </c>
      <c r="M200" s="1" t="s">
        <v>29</v>
      </c>
      <c r="N200" s="1" t="s">
        <v>99</v>
      </c>
      <c r="O200" s="2">
        <v>699.0</v>
      </c>
      <c r="P200" s="2">
        <f t="shared" si="0"/>
        <v>388.333333333333</v>
      </c>
      <c r="Q200" s="3">
        <f t="shared" si="1"/>
        <v>0.12703862660944</v>
      </c>
      <c r="R200" s="2">
        <v>339.0</v>
      </c>
      <c r="S200" s="2">
        <f t="shared" si="11"/>
        <v>329.0</v>
      </c>
    </row>
    <row r="201" ht="17.0">
      <c r="A201" s="1" t="s">
        <v>369</v>
      </c>
      <c r="B201" s="1" t="s">
        <v>20</v>
      </c>
      <c r="C201" s="1" t="s">
        <v>21</v>
      </c>
      <c r="D201" s="1" t="s">
        <v>370</v>
      </c>
      <c r="E201" s="1" t="s">
        <v>394</v>
      </c>
      <c r="F201" s="1" t="s">
        <v>395</v>
      </c>
      <c r="G201" s="1" t="s">
        <v>24</v>
      </c>
      <c r="H201" s="1">
        <v>1.44</v>
      </c>
      <c r="I201" s="1" t="s">
        <v>278</v>
      </c>
      <c r="J201" s="1" t="s">
        <v>208</v>
      </c>
      <c r="K201" s="1" t="s">
        <v>61</v>
      </c>
      <c r="L201" s="1" t="s">
        <v>28</v>
      </c>
      <c r="M201" s="1" t="s">
        <v>209</v>
      </c>
      <c r="N201" s="1" t="s">
        <v>99</v>
      </c>
      <c r="O201" s="2">
        <v>984.43</v>
      </c>
      <c r="P201" s="2">
        <f t="shared" si="0"/>
        <v>683.631944444444</v>
      </c>
      <c r="Q201" s="3">
        <f t="shared" si="1"/>
        <v>0.504119134930873</v>
      </c>
      <c r="R201" s="2">
        <v>339.0</v>
      </c>
    </row>
    <row r="202" ht="17.0">
      <c r="A202" s="1" t="s">
        <v>369</v>
      </c>
      <c r="B202" s="1" t="s">
        <v>20</v>
      </c>
      <c r="C202" s="1" t="s">
        <v>21</v>
      </c>
      <c r="D202" s="1" t="s">
        <v>370</v>
      </c>
      <c r="E202" s="1" t="s">
        <v>396</v>
      </c>
      <c r="F202" s="1" t="s">
        <v>397</v>
      </c>
      <c r="G202" s="1" t="s">
        <v>24</v>
      </c>
      <c r="H202" s="1">
        <v>1.44</v>
      </c>
      <c r="I202" s="1" t="s">
        <v>278</v>
      </c>
      <c r="J202" s="1" t="s">
        <v>208</v>
      </c>
      <c r="K202" s="1" t="s">
        <v>27</v>
      </c>
      <c r="L202" s="1" t="s">
        <v>97</v>
      </c>
      <c r="M202" s="1" t="s">
        <v>209</v>
      </c>
      <c r="N202" s="1" t="s">
        <v>99</v>
      </c>
      <c r="O202" s="2">
        <v>984.43</v>
      </c>
      <c r="P202" s="2">
        <f t="shared" si="0"/>
        <v>683.631944444444</v>
      </c>
      <c r="Q202" s="3">
        <f t="shared" si="1"/>
        <v>0.445608118403543</v>
      </c>
      <c r="R202" s="2">
        <v>379.0</v>
      </c>
      <c r="S202" s="2">
        <v>369.0</v>
      </c>
    </row>
    <row r="203" ht="17.0">
      <c r="A203" s="1" t="s">
        <v>369</v>
      </c>
      <c r="B203" s="1" t="s">
        <v>20</v>
      </c>
      <c r="C203" s="1" t="s">
        <v>21</v>
      </c>
      <c r="D203" s="1" t="s">
        <v>370</v>
      </c>
      <c r="E203" s="1" t="s">
        <v>398</v>
      </c>
      <c r="F203" s="1" t="s">
        <v>399</v>
      </c>
      <c r="G203" s="1" t="s">
        <v>24</v>
      </c>
      <c r="H203" s="1">
        <v>1.44</v>
      </c>
      <c r="I203" s="1" t="s">
        <v>278</v>
      </c>
      <c r="J203" s="1" t="s">
        <v>208</v>
      </c>
      <c r="K203" s="1" t="s">
        <v>42</v>
      </c>
      <c r="L203" s="1" t="s">
        <v>32</v>
      </c>
      <c r="M203" s="1" t="s">
        <v>29</v>
      </c>
      <c r="N203" s="1" t="s">
        <v>99</v>
      </c>
      <c r="O203" s="2">
        <v>984.43</v>
      </c>
      <c r="P203" s="2">
        <f t="shared" si="0"/>
        <v>683.631944444444</v>
      </c>
      <c r="Q203" s="3">
        <f t="shared" si="1"/>
        <v>0.489491380799041</v>
      </c>
      <c r="R203" s="2">
        <v>349.0</v>
      </c>
    </row>
    <row r="204" ht="17.0">
      <c r="A204" s="1" t="s">
        <v>369</v>
      </c>
      <c r="B204" s="1" t="s">
        <v>20</v>
      </c>
      <c r="C204" s="1" t="s">
        <v>21</v>
      </c>
      <c r="D204" s="1" t="s">
        <v>370</v>
      </c>
      <c r="E204" s="1" t="s">
        <v>400</v>
      </c>
      <c r="F204" s="1" t="s">
        <v>401</v>
      </c>
      <c r="G204" s="1" t="s">
        <v>24</v>
      </c>
      <c r="H204" s="1">
        <v>1.44</v>
      </c>
      <c r="I204" s="1" t="s">
        <v>278</v>
      </c>
      <c r="J204" s="1" t="s">
        <v>208</v>
      </c>
      <c r="K204" s="1" t="s">
        <v>42</v>
      </c>
      <c r="L204" s="1" t="s">
        <v>32</v>
      </c>
      <c r="M204" s="1" t="s">
        <v>29</v>
      </c>
      <c r="N204" s="1" t="s">
        <v>99</v>
      </c>
      <c r="O204" s="2">
        <v>984.43</v>
      </c>
      <c r="P204" s="2">
        <f t="shared" si="0"/>
        <v>683.631944444444</v>
      </c>
      <c r="Q204" s="3">
        <f t="shared" si="1"/>
        <v>0.489491380799041</v>
      </c>
      <c r="R204" s="2">
        <v>349.0</v>
      </c>
      <c r="S204" s="2">
        <v>339.0</v>
      </c>
    </row>
    <row r="205" ht="17.0">
      <c r="A205" s="1" t="s">
        <v>369</v>
      </c>
      <c r="B205" s="1" t="s">
        <v>20</v>
      </c>
      <c r="C205" s="1" t="s">
        <v>21</v>
      </c>
      <c r="D205" s="1" t="s">
        <v>370</v>
      </c>
      <c r="E205" s="1" t="s">
        <v>402</v>
      </c>
      <c r="F205" s="1" t="s">
        <v>403</v>
      </c>
      <c r="G205" s="1" t="s">
        <v>24</v>
      </c>
      <c r="H205" s="1">
        <v>2.13</v>
      </c>
      <c r="I205" s="1" t="s">
        <v>404</v>
      </c>
      <c r="J205" s="1" t="s">
        <v>208</v>
      </c>
      <c r="K205" s="1" t="s">
        <v>27</v>
      </c>
      <c r="L205" s="1" t="s">
        <v>56</v>
      </c>
      <c r="M205" s="1" t="s">
        <v>209</v>
      </c>
      <c r="N205" s="1" t="s">
        <v>99</v>
      </c>
      <c r="O205" s="2">
        <v>859.0</v>
      </c>
      <c r="P205" s="2">
        <f t="shared" si="0"/>
        <v>403.28638497652</v>
      </c>
      <c r="Q205" s="3">
        <f t="shared" si="1"/>
        <v>0.134610011641431</v>
      </c>
      <c r="R205" s="2">
        <v>349.0</v>
      </c>
      <c r="S205" s="2">
        <v>309.0</v>
      </c>
    </row>
    <row r="206" ht="17.0">
      <c r="A206" s="1" t="s">
        <v>369</v>
      </c>
      <c r="B206" s="1" t="s">
        <v>20</v>
      </c>
      <c r="C206" s="1" t="s">
        <v>21</v>
      </c>
      <c r="D206" s="1" t="s">
        <v>370</v>
      </c>
      <c r="E206" s="1" t="s">
        <v>405</v>
      </c>
      <c r="F206" s="1" t="s">
        <v>406</v>
      </c>
      <c r="G206" s="1" t="s">
        <v>24</v>
      </c>
      <c r="H206" s="1">
        <v>2.13</v>
      </c>
      <c r="I206" s="1" t="s">
        <v>404</v>
      </c>
      <c r="J206" s="1" t="s">
        <v>208</v>
      </c>
      <c r="K206" s="1" t="s">
        <v>27</v>
      </c>
      <c r="L206" s="1" t="s">
        <v>56</v>
      </c>
      <c r="M206" s="1" t="s">
        <v>209</v>
      </c>
      <c r="N206" s="1" t="s">
        <v>99</v>
      </c>
      <c r="O206" s="2">
        <v>859.0</v>
      </c>
      <c r="P206" s="2">
        <f t="shared" si="0"/>
        <v>403.28638497652</v>
      </c>
      <c r="Q206" s="3">
        <f t="shared" si="1"/>
        <v>0.208998835855634</v>
      </c>
      <c r="R206" s="2">
        <v>319.0</v>
      </c>
    </row>
    <row r="207" ht="17.0">
      <c r="A207" s="1" t="s">
        <v>369</v>
      </c>
      <c r="B207" s="1" t="s">
        <v>20</v>
      </c>
      <c r="C207" s="1" t="s">
        <v>21</v>
      </c>
      <c r="D207" s="1" t="s">
        <v>370</v>
      </c>
      <c r="E207" s="1" t="s">
        <v>407</v>
      </c>
      <c r="F207" s="1" t="s">
        <v>408</v>
      </c>
      <c r="G207" s="1" t="s">
        <v>24</v>
      </c>
      <c r="H207" s="1">
        <v>2.13</v>
      </c>
      <c r="I207" s="1" t="s">
        <v>404</v>
      </c>
      <c r="J207" s="1" t="s">
        <v>208</v>
      </c>
      <c r="K207" s="1" t="s">
        <v>61</v>
      </c>
      <c r="L207" s="1" t="s">
        <v>56</v>
      </c>
      <c r="M207" s="1" t="s">
        <v>209</v>
      </c>
      <c r="N207" s="1" t="s">
        <v>99</v>
      </c>
      <c r="O207" s="2">
        <v>859.0</v>
      </c>
      <c r="P207" s="2">
        <f t="shared" si="0"/>
        <v>403.28638497652</v>
      </c>
      <c r="Q207" s="3">
        <f t="shared" si="1"/>
        <v>0.134610011641431</v>
      </c>
      <c r="R207" s="2">
        <v>349.0</v>
      </c>
      <c r="S207" s="2">
        <v>339.0</v>
      </c>
    </row>
    <row r="208" ht="17.0">
      <c r="A208" s="1" t="s">
        <v>369</v>
      </c>
      <c r="B208" s="1" t="s">
        <v>20</v>
      </c>
      <c r="C208" s="1" t="s">
        <v>21</v>
      </c>
      <c r="D208" s="1" t="s">
        <v>370</v>
      </c>
      <c r="E208" s="1" t="s">
        <v>409</v>
      </c>
      <c r="F208" s="1" t="s">
        <v>410</v>
      </c>
      <c r="G208" s="1" t="s">
        <v>24</v>
      </c>
      <c r="H208" s="1">
        <v>2.13</v>
      </c>
      <c r="I208" s="1" t="s">
        <v>404</v>
      </c>
      <c r="J208" s="1" t="s">
        <v>208</v>
      </c>
      <c r="K208" s="1" t="s">
        <v>61</v>
      </c>
      <c r="L208" s="1" t="s">
        <v>411</v>
      </c>
      <c r="M208" s="1" t="s">
        <v>209</v>
      </c>
      <c r="N208" s="1" t="s">
        <v>99</v>
      </c>
      <c r="O208" s="2">
        <v>859.0</v>
      </c>
      <c r="P208" s="2">
        <f t="shared" si="0"/>
        <v>403.28638497652</v>
      </c>
      <c r="Q208" s="3">
        <f t="shared" si="1"/>
        <v>0.134610011641431</v>
      </c>
      <c r="R208" s="2">
        <v>349.0</v>
      </c>
      <c r="S208" s="2">
        <v>339.0</v>
      </c>
    </row>
    <row r="209" ht="17.0">
      <c r="A209" s="1" t="s">
        <v>369</v>
      </c>
      <c r="B209" s="1" t="s">
        <v>20</v>
      </c>
      <c r="C209" s="1" t="s">
        <v>21</v>
      </c>
      <c r="D209" s="1" t="s">
        <v>370</v>
      </c>
      <c r="E209" s="1" t="s">
        <v>412</v>
      </c>
      <c r="F209" s="1" t="s">
        <v>413</v>
      </c>
      <c r="G209" s="1" t="s">
        <v>24</v>
      </c>
      <c r="H209" s="1">
        <v>1.44</v>
      </c>
      <c r="I209" s="1" t="s">
        <v>278</v>
      </c>
      <c r="J209" s="1" t="s">
        <v>208</v>
      </c>
      <c r="K209" s="1" t="s">
        <v>27</v>
      </c>
      <c r="L209" s="1" t="s">
        <v>63</v>
      </c>
      <c r="M209" s="1" t="s">
        <v>209</v>
      </c>
      <c r="N209" s="1" t="s">
        <v>99</v>
      </c>
      <c r="O209" s="2">
        <v>1359.04</v>
      </c>
      <c r="P209" s="2">
        <f t="shared" si="0"/>
        <v>943.777777777778</v>
      </c>
      <c r="Q209" s="3">
        <f t="shared" si="1"/>
        <v>0.450082411113728</v>
      </c>
      <c r="R209" s="2">
        <v>519.0</v>
      </c>
      <c r="S209" s="2">
        <v>499.0</v>
      </c>
    </row>
    <row r="210" ht="17.0">
      <c r="A210" s="1" t="s">
        <v>369</v>
      </c>
      <c r="B210" s="1" t="s">
        <v>20</v>
      </c>
      <c r="C210" s="1" t="s">
        <v>21</v>
      </c>
      <c r="D210" s="1" t="s">
        <v>370</v>
      </c>
      <c r="E210" s="1" t="s">
        <v>414</v>
      </c>
      <c r="F210" s="1" t="s">
        <v>415</v>
      </c>
      <c r="G210" s="1" t="s">
        <v>24</v>
      </c>
      <c r="H210" s="1">
        <v>1.44</v>
      </c>
      <c r="I210" s="1" t="s">
        <v>278</v>
      </c>
      <c r="J210" s="1" t="s">
        <v>208</v>
      </c>
      <c r="K210" s="1" t="s">
        <v>27</v>
      </c>
      <c r="L210" s="1" t="s">
        <v>97</v>
      </c>
      <c r="M210" s="1" t="s">
        <v>209</v>
      </c>
      <c r="N210" s="1" t="s">
        <v>99</v>
      </c>
      <c r="O210" s="2">
        <v>984.43</v>
      </c>
      <c r="P210" s="2">
        <f t="shared" si="0"/>
        <v>683.631944444444</v>
      </c>
      <c r="Q210" s="3">
        <f t="shared" si="1"/>
        <v>0.518746889062705</v>
      </c>
      <c r="R210" s="2">
        <v>329.0</v>
      </c>
    </row>
    <row r="211" ht="17.0">
      <c r="A211" s="1" t="s">
        <v>369</v>
      </c>
      <c r="B211" s="1" t="s">
        <v>20</v>
      </c>
      <c r="C211" s="1" t="s">
        <v>21</v>
      </c>
      <c r="D211" s="1" t="s">
        <v>370</v>
      </c>
      <c r="E211" s="1" t="s">
        <v>416</v>
      </c>
      <c r="F211" s="1" t="s">
        <v>417</v>
      </c>
      <c r="G211" s="1" t="s">
        <v>24</v>
      </c>
      <c r="H211" s="1">
        <v>1.44</v>
      </c>
      <c r="I211" s="1" t="s">
        <v>278</v>
      </c>
      <c r="J211" s="1" t="s">
        <v>208</v>
      </c>
      <c r="K211" s="1" t="s">
        <v>27</v>
      </c>
      <c r="L211" s="1" t="s">
        <v>63</v>
      </c>
      <c r="M211" s="1" t="s">
        <v>209</v>
      </c>
      <c r="N211" s="1" t="s">
        <v>99</v>
      </c>
      <c r="O211" s="2">
        <v>1155.76</v>
      </c>
      <c r="P211" s="2">
        <f t="shared" si="0"/>
        <v>802.611111111111</v>
      </c>
      <c r="Q211" s="3">
        <f t="shared" si="1"/>
        <v>0.403197895756904</v>
      </c>
      <c r="R211" s="2">
        <v>479.0</v>
      </c>
      <c r="S211" s="2">
        <v>469.0</v>
      </c>
    </row>
    <row r="212" ht="17.0">
      <c r="A212" s="1" t="s">
        <v>369</v>
      </c>
      <c r="B212" s="1" t="s">
        <v>20</v>
      </c>
      <c r="C212" s="1" t="s">
        <v>21</v>
      </c>
      <c r="D212" s="1" t="s">
        <v>370</v>
      </c>
      <c r="E212" s="1" t="s">
        <v>418</v>
      </c>
      <c r="F212" s="1" t="s">
        <v>419</v>
      </c>
      <c r="G212" s="1" t="s">
        <v>24</v>
      </c>
      <c r="H212" s="1">
        <v>1.44</v>
      </c>
      <c r="I212" s="1" t="s">
        <v>278</v>
      </c>
      <c r="J212" s="1" t="s">
        <v>208</v>
      </c>
      <c r="K212" s="1" t="s">
        <v>27</v>
      </c>
      <c r="L212" s="1" t="s">
        <v>56</v>
      </c>
      <c r="M212" s="1" t="s">
        <v>209</v>
      </c>
      <c r="N212" s="1" t="s">
        <v>99</v>
      </c>
      <c r="O212" s="2">
        <v>984.43</v>
      </c>
      <c r="P212" s="2">
        <f t="shared" si="0"/>
        <v>683.631944444444</v>
      </c>
      <c r="Q212" s="3">
        <f t="shared" si="1"/>
        <v>0.416352610139878</v>
      </c>
      <c r="R212" s="2">
        <v>399.0</v>
      </c>
      <c r="S212" s="2">
        <v>389.0</v>
      </c>
    </row>
    <row r="213" ht="17.0">
      <c r="A213" s="1" t="s">
        <v>369</v>
      </c>
      <c r="B213" s="1" t="s">
        <v>20</v>
      </c>
      <c r="C213" s="1" t="s">
        <v>21</v>
      </c>
      <c r="D213" s="1" t="s">
        <v>370</v>
      </c>
      <c r="E213" s="1" t="s">
        <v>420</v>
      </c>
      <c r="F213" s="1" t="s">
        <v>421</v>
      </c>
      <c r="G213" s="1" t="s">
        <v>24</v>
      </c>
      <c r="H213" s="1">
        <v>1.44</v>
      </c>
      <c r="I213" s="1" t="s">
        <v>104</v>
      </c>
      <c r="J213" s="1" t="s">
        <v>208</v>
      </c>
      <c r="K213" s="1" t="s">
        <v>27</v>
      </c>
      <c r="L213" s="1" t="s">
        <v>97</v>
      </c>
      <c r="M213" s="1" t="s">
        <v>209</v>
      </c>
      <c r="N213" s="1" t="s">
        <v>99</v>
      </c>
      <c r="O213" s="2">
        <v>879.89</v>
      </c>
      <c r="P213" s="2">
        <f t="shared" si="0"/>
        <v>611.034722222222</v>
      </c>
      <c r="Q213" s="3">
        <f t="shared" si="1"/>
        <v>0.494300423916626</v>
      </c>
      <c r="R213" s="2">
        <v>309.0</v>
      </c>
    </row>
    <row r="214" ht="17.0">
      <c r="A214" s="1" t="s">
        <v>369</v>
      </c>
      <c r="B214" s="1" t="s">
        <v>20</v>
      </c>
      <c r="C214" s="1" t="s">
        <v>21</v>
      </c>
      <c r="D214" s="1" t="s">
        <v>370</v>
      </c>
      <c r="E214" s="1" t="s">
        <v>422</v>
      </c>
      <c r="F214" s="1" t="s">
        <v>423</v>
      </c>
      <c r="G214" s="1" t="s">
        <v>24</v>
      </c>
      <c r="H214" s="1">
        <v>1.44</v>
      </c>
      <c r="I214" s="1" t="s">
        <v>104</v>
      </c>
      <c r="J214" s="1" t="s">
        <v>208</v>
      </c>
      <c r="K214" s="1" t="s">
        <v>27</v>
      </c>
      <c r="L214" s="1" t="s">
        <v>32</v>
      </c>
      <c r="M214" s="1" t="s">
        <v>209</v>
      </c>
      <c r="N214" s="1" t="s">
        <v>99</v>
      </c>
      <c r="O214" s="2">
        <v>879.89</v>
      </c>
      <c r="P214" s="2">
        <f t="shared" si="0"/>
        <v>611.034722222222</v>
      </c>
      <c r="Q214" s="3">
        <f t="shared" si="1"/>
        <v>0.494300423916626</v>
      </c>
      <c r="R214" s="2">
        <v>309.0</v>
      </c>
      <c r="S214" s="2">
        <v>299.0</v>
      </c>
    </row>
    <row r="215" ht="17.0">
      <c r="A215" s="1" t="s">
        <v>369</v>
      </c>
      <c r="B215" s="1" t="s">
        <v>20</v>
      </c>
      <c r="C215" s="1" t="s">
        <v>21</v>
      </c>
      <c r="D215" s="1" t="s">
        <v>370</v>
      </c>
      <c r="E215" s="1" t="s">
        <v>424</v>
      </c>
      <c r="F215" s="1" t="s">
        <v>425</v>
      </c>
      <c r="G215" s="1" t="s">
        <v>24</v>
      </c>
      <c r="H215" s="1">
        <v>1.44</v>
      </c>
      <c r="I215" s="1" t="s">
        <v>104</v>
      </c>
      <c r="J215" s="1" t="s">
        <v>208</v>
      </c>
      <c r="K215" s="1" t="s">
        <v>27</v>
      </c>
      <c r="L215" s="1" t="s">
        <v>28</v>
      </c>
      <c r="M215" s="1" t="s">
        <v>209</v>
      </c>
      <c r="N215" s="1" t="s">
        <v>99</v>
      </c>
      <c r="O215" s="2">
        <v>539.0</v>
      </c>
      <c r="P215" s="2">
        <f t="shared" si="0"/>
        <v>374.305555555556</v>
      </c>
      <c r="Q215" s="3">
        <f t="shared" si="1"/>
        <v>0.388200371057515</v>
      </c>
      <c r="R215" s="2">
        <v>229.0</v>
      </c>
      <c r="S215" s="2">
        <v>0.0</v>
      </c>
    </row>
    <row r="216" ht="17.0">
      <c r="A216" s="1" t="s">
        <v>369</v>
      </c>
      <c r="B216" s="1" t="s">
        <v>20</v>
      </c>
      <c r="C216" s="1" t="s">
        <v>21</v>
      </c>
      <c r="D216" s="1" t="s">
        <v>370</v>
      </c>
      <c r="E216" s="1" t="s">
        <v>426</v>
      </c>
      <c r="F216" s="1" t="s">
        <v>427</v>
      </c>
      <c r="G216" s="1" t="s">
        <v>24</v>
      </c>
      <c r="H216" s="1">
        <v>1.44</v>
      </c>
      <c r="I216" s="1" t="s">
        <v>104</v>
      </c>
      <c r="J216" s="1" t="s">
        <v>208</v>
      </c>
      <c r="K216" s="1" t="s">
        <v>61</v>
      </c>
      <c r="L216" s="1" t="s">
        <v>56</v>
      </c>
      <c r="M216" s="1" t="s">
        <v>209</v>
      </c>
      <c r="N216" s="1" t="s">
        <v>99</v>
      </c>
      <c r="O216" s="2">
        <v>879.89</v>
      </c>
      <c r="P216" s="2">
        <f t="shared" si="0"/>
        <v>611.034722222222</v>
      </c>
      <c r="Q216" s="3">
        <f t="shared" si="1"/>
        <v>0.445203377694939</v>
      </c>
      <c r="R216" s="2">
        <v>339.0</v>
      </c>
    </row>
    <row r="217" ht="17.0">
      <c r="A217" s="1" t="s">
        <v>45</v>
      </c>
      <c r="B217" s="1" t="s">
        <v>20</v>
      </c>
      <c r="C217" s="1" t="s">
        <v>21</v>
      </c>
      <c r="D217" s="1" t="s">
        <v>46</v>
      </c>
      <c r="E217" s="1" t="s">
        <v>428</v>
      </c>
      <c r="F217" s="1" t="s">
        <v>429</v>
      </c>
      <c r="G217" s="1" t="s">
        <v>24</v>
      </c>
      <c r="H217" s="1">
        <v>1.16</v>
      </c>
      <c r="I217" s="1" t="s">
        <v>430</v>
      </c>
      <c r="J217" s="1" t="s">
        <v>26</v>
      </c>
      <c r="K217" s="1" t="s">
        <v>58</v>
      </c>
      <c r="L217" s="1" t="s">
        <v>59</v>
      </c>
      <c r="M217" s="1" t="s">
        <v>29</v>
      </c>
      <c r="N217" s="1" t="s">
        <v>99</v>
      </c>
      <c r="O217" s="2">
        <v>809.0</v>
      </c>
      <c r="P217" s="2">
        <f t="shared" si="0"/>
        <v>697.413793103448</v>
      </c>
      <c r="Q217" s="3">
        <f t="shared" si="1"/>
        <v>0.37053152039555</v>
      </c>
      <c r="R217" s="2">
        <v>439.0</v>
      </c>
    </row>
    <row r="218" ht="17.0">
      <c r="A218" s="1" t="s">
        <v>45</v>
      </c>
      <c r="B218" s="1" t="s">
        <v>20</v>
      </c>
      <c r="C218" s="1" t="s">
        <v>21</v>
      </c>
      <c r="D218" s="1" t="s">
        <v>46</v>
      </c>
      <c r="E218" s="1" t="s">
        <v>431</v>
      </c>
      <c r="F218" s="1" t="s">
        <v>432</v>
      </c>
      <c r="G218" s="1" t="s">
        <v>24</v>
      </c>
      <c r="H218" s="1">
        <v>1.6</v>
      </c>
      <c r="I218" s="1" t="s">
        <v>433</v>
      </c>
      <c r="J218" s="1" t="s">
        <v>26</v>
      </c>
      <c r="K218" s="1" t="s">
        <v>61</v>
      </c>
      <c r="L218" s="1" t="s">
        <v>56</v>
      </c>
      <c r="M218" s="1" t="s">
        <v>29</v>
      </c>
      <c r="N218" s="1" t="s">
        <v>99</v>
      </c>
      <c r="O218" s="2">
        <v>859.0</v>
      </c>
      <c r="P218" s="2">
        <f t="shared" si="0"/>
        <v>536.875</v>
      </c>
      <c r="Q218" s="3">
        <f t="shared" si="1"/>
        <v>0.163678696158323</v>
      </c>
      <c r="R218" s="2">
        <v>449.0</v>
      </c>
      <c r="S218" s="2">
        <f>R218-10</f>
        <v>439.0</v>
      </c>
    </row>
    <row r="219" ht="17.0">
      <c r="A219" s="1" t="s">
        <v>369</v>
      </c>
      <c r="B219" s="1" t="s">
        <v>20</v>
      </c>
      <c r="C219" s="1" t="s">
        <v>21</v>
      </c>
      <c r="D219" s="1" t="s">
        <v>370</v>
      </c>
      <c r="E219" s="1" t="s">
        <v>434</v>
      </c>
      <c r="F219" s="1" t="s">
        <v>435</v>
      </c>
      <c r="G219" s="1" t="s">
        <v>24</v>
      </c>
      <c r="H219" s="1">
        <v>1.44</v>
      </c>
      <c r="I219" s="1" t="s">
        <v>104</v>
      </c>
      <c r="J219" s="1" t="s">
        <v>208</v>
      </c>
      <c r="K219" s="1" t="s">
        <v>27</v>
      </c>
      <c r="L219" s="1" t="s">
        <v>56</v>
      </c>
      <c r="M219" s="1" t="s">
        <v>29</v>
      </c>
      <c r="N219" s="1" t="s">
        <v>99</v>
      </c>
      <c r="O219" s="2">
        <v>776.74</v>
      </c>
      <c r="P219" s="2">
        <f t="shared" si="0"/>
        <v>539.402777777778</v>
      </c>
      <c r="Q219" s="3">
        <f t="shared" si="1"/>
        <v>0.48276128434225</v>
      </c>
      <c r="R219" s="2">
        <v>279.0</v>
      </c>
      <c r="S219" s="2">
        <v>0.0</v>
      </c>
    </row>
    <row r="220" ht="17.0">
      <c r="A220" s="1" t="s">
        <v>369</v>
      </c>
      <c r="B220" s="1" t="s">
        <v>20</v>
      </c>
      <c r="C220" s="1" t="s">
        <v>21</v>
      </c>
      <c r="D220" s="1" t="s">
        <v>370</v>
      </c>
      <c r="E220" s="1" t="s">
        <v>436</v>
      </c>
      <c r="F220" s="1" t="s">
        <v>437</v>
      </c>
      <c r="G220" s="1" t="s">
        <v>24</v>
      </c>
      <c r="H220" s="1">
        <v>1.44</v>
      </c>
      <c r="I220" s="1" t="s">
        <v>104</v>
      </c>
      <c r="J220" s="1" t="s">
        <v>208</v>
      </c>
      <c r="K220" s="1" t="s">
        <v>27</v>
      </c>
      <c r="L220" s="1" t="s">
        <v>56</v>
      </c>
      <c r="M220" s="1" t="s">
        <v>209</v>
      </c>
      <c r="N220" s="1" t="s">
        <v>99</v>
      </c>
      <c r="O220" s="2">
        <v>675.7</v>
      </c>
      <c r="P220" s="2">
        <f t="shared" si="0"/>
        <v>469.236111111111</v>
      </c>
      <c r="Q220" s="3">
        <f t="shared" si="1"/>
        <v>0.362794139410981</v>
      </c>
      <c r="R220" s="2">
        <v>299.0</v>
      </c>
      <c r="S220" s="2">
        <v>289.0</v>
      </c>
    </row>
    <row r="221" ht="17.0">
      <c r="A221" s="1" t="s">
        <v>45</v>
      </c>
      <c r="B221" s="1" t="s">
        <v>20</v>
      </c>
      <c r="C221" s="1" t="s">
        <v>21</v>
      </c>
      <c r="D221" s="1" t="s">
        <v>46</v>
      </c>
      <c r="E221" s="1" t="s">
        <v>438</v>
      </c>
      <c r="F221" s="1" t="s">
        <v>439</v>
      </c>
      <c r="G221" s="1" t="s">
        <v>24</v>
      </c>
      <c r="H221" s="1">
        <v>1.42</v>
      </c>
      <c r="I221" s="1" t="s">
        <v>440</v>
      </c>
      <c r="J221" s="1" t="s">
        <v>208</v>
      </c>
      <c r="K221" s="1" t="s">
        <v>42</v>
      </c>
      <c r="L221" s="1" t="s">
        <v>74</v>
      </c>
      <c r="M221" s="1" t="s">
        <v>209</v>
      </c>
      <c r="N221" s="1" t="s">
        <v>99</v>
      </c>
      <c r="O221" s="2">
        <v>809.0</v>
      </c>
      <c r="P221" s="2">
        <f t="shared" si="0"/>
        <v>569.718309859154</v>
      </c>
      <c r="Q221" s="3">
        <f t="shared" si="1"/>
        <v>0.246996291718168</v>
      </c>
      <c r="R221" s="2">
        <v>429.0</v>
      </c>
      <c r="S221" s="2">
        <f t="shared" ref="S221:S239" si="13">R221-10</f>
        <v>419.0</v>
      </c>
    </row>
    <row r="222" ht="17.0">
      <c r="A222" s="1" t="s">
        <v>45</v>
      </c>
      <c r="B222" s="1" t="s">
        <v>20</v>
      </c>
      <c r="C222" s="1" t="s">
        <v>21</v>
      </c>
      <c r="D222" s="1" t="s">
        <v>46</v>
      </c>
      <c r="E222" s="1" t="s">
        <v>441</v>
      </c>
      <c r="F222" s="1" t="s">
        <v>442</v>
      </c>
      <c r="G222" s="1" t="s">
        <v>24</v>
      </c>
      <c r="H222" s="1">
        <v>1.16</v>
      </c>
      <c r="I222" s="1" t="s">
        <v>430</v>
      </c>
      <c r="J222" s="1" t="s">
        <v>26</v>
      </c>
      <c r="K222" s="1" t="s">
        <v>58</v>
      </c>
      <c r="L222" s="1" t="s">
        <v>32</v>
      </c>
      <c r="M222" s="1" t="s">
        <v>29</v>
      </c>
      <c r="N222" s="1" t="s">
        <v>99</v>
      </c>
      <c r="O222" s="2">
        <v>809.0</v>
      </c>
      <c r="P222" s="2">
        <f t="shared" si="0"/>
        <v>697.413793103448</v>
      </c>
      <c r="Q222" s="3">
        <f t="shared" si="1"/>
        <v>0.184128553770085</v>
      </c>
      <c r="R222" s="2">
        <v>569.0</v>
      </c>
      <c r="S222" s="2">
        <f t="shared" si="13"/>
        <v>559.0</v>
      </c>
    </row>
    <row r="223" ht="17.0">
      <c r="A223" s="1" t="s">
        <v>45</v>
      </c>
      <c r="B223" s="1" t="s">
        <v>20</v>
      </c>
      <c r="C223" s="1" t="s">
        <v>21</v>
      </c>
      <c r="D223" s="1" t="s">
        <v>46</v>
      </c>
      <c r="E223" s="1" t="s">
        <v>443</v>
      </c>
      <c r="F223" s="1" t="s">
        <v>444</v>
      </c>
      <c r="G223" s="1" t="s">
        <v>24</v>
      </c>
      <c r="H223" s="1">
        <v>1.16</v>
      </c>
      <c r="I223" s="1" t="s">
        <v>430</v>
      </c>
      <c r="J223" s="1" t="s">
        <v>26</v>
      </c>
      <c r="K223" s="1" t="s">
        <v>58</v>
      </c>
      <c r="L223" s="1" t="s">
        <v>28</v>
      </c>
      <c r="M223" s="1" t="s">
        <v>29</v>
      </c>
      <c r="N223" s="1" t="s">
        <v>99</v>
      </c>
      <c r="O223" s="2">
        <v>809.0</v>
      </c>
      <c r="P223" s="2">
        <f t="shared" si="0"/>
        <v>697.413793103448</v>
      </c>
      <c r="Q223" s="3">
        <f t="shared" si="1"/>
        <v>0.184128553770085</v>
      </c>
      <c r="R223" s="2">
        <v>569.0</v>
      </c>
      <c r="S223" s="2">
        <f t="shared" si="13"/>
        <v>559.0</v>
      </c>
    </row>
    <row r="224" ht="17.0">
      <c r="A224" s="1" t="s">
        <v>45</v>
      </c>
      <c r="B224" s="1" t="s">
        <v>20</v>
      </c>
      <c r="C224" s="1" t="s">
        <v>21</v>
      </c>
      <c r="D224" s="1" t="s">
        <v>46</v>
      </c>
      <c r="E224" s="1" t="s">
        <v>445</v>
      </c>
      <c r="F224" s="1" t="s">
        <v>446</v>
      </c>
      <c r="G224" s="1" t="s">
        <v>24</v>
      </c>
      <c r="H224" s="1">
        <v>2.56</v>
      </c>
      <c r="I224" s="1" t="s">
        <v>297</v>
      </c>
      <c r="J224" s="1" t="s">
        <v>208</v>
      </c>
      <c r="K224" s="1" t="s">
        <v>27</v>
      </c>
      <c r="L224" s="1" t="s">
        <v>56</v>
      </c>
      <c r="M224" s="1" t="s">
        <v>209</v>
      </c>
      <c r="N224" s="1" t="s">
        <v>99</v>
      </c>
      <c r="O224" s="2">
        <v>2099.0</v>
      </c>
      <c r="P224" s="2">
        <f t="shared" si="0"/>
        <v>819.921875</v>
      </c>
      <c r="Q224" s="3">
        <f t="shared" si="1"/>
        <v>0.20846117198666</v>
      </c>
      <c r="R224" s="2">
        <v>649.0</v>
      </c>
      <c r="S224" s="2">
        <f t="shared" si="13"/>
        <v>639.0</v>
      </c>
    </row>
    <row r="225" ht="17.0">
      <c r="A225" s="1" t="s">
        <v>45</v>
      </c>
      <c r="B225" s="1" t="s">
        <v>20</v>
      </c>
      <c r="C225" s="1" t="s">
        <v>21</v>
      </c>
      <c r="D225" s="1" t="s">
        <v>46</v>
      </c>
      <c r="E225" s="1" t="s">
        <v>447</v>
      </c>
      <c r="F225" s="1" t="s">
        <v>448</v>
      </c>
      <c r="G225" s="1" t="s">
        <v>24</v>
      </c>
      <c r="H225" s="1">
        <v>2.56</v>
      </c>
      <c r="I225" s="1" t="s">
        <v>297</v>
      </c>
      <c r="J225" s="1" t="s">
        <v>208</v>
      </c>
      <c r="K225" s="1" t="s">
        <v>27</v>
      </c>
      <c r="L225" s="1" t="s">
        <v>28</v>
      </c>
      <c r="M225" s="1" t="s">
        <v>209</v>
      </c>
      <c r="N225" s="1" t="s">
        <v>99</v>
      </c>
      <c r="O225" s="2">
        <v>1899.0</v>
      </c>
      <c r="P225" s="2">
        <f t="shared" si="0"/>
        <v>741.796875</v>
      </c>
      <c r="Q225" s="3">
        <f t="shared" si="1"/>
        <v>0.125097419694577</v>
      </c>
      <c r="R225" s="2">
        <v>649.0</v>
      </c>
      <c r="S225" s="2">
        <f t="shared" si="13"/>
        <v>639.0</v>
      </c>
    </row>
    <row r="226" ht="17.0">
      <c r="A226" s="1" t="s">
        <v>45</v>
      </c>
      <c r="B226" s="1" t="s">
        <v>20</v>
      </c>
      <c r="C226" s="1" t="s">
        <v>21</v>
      </c>
      <c r="D226" s="1" t="s">
        <v>46</v>
      </c>
      <c r="E226" s="1" t="s">
        <v>449</v>
      </c>
      <c r="F226" s="1" t="s">
        <v>450</v>
      </c>
      <c r="G226" s="1" t="s">
        <v>24</v>
      </c>
      <c r="H226" s="1">
        <v>2.56</v>
      </c>
      <c r="I226" s="1" t="s">
        <v>297</v>
      </c>
      <c r="J226" s="1" t="s">
        <v>208</v>
      </c>
      <c r="K226" s="1" t="s">
        <v>42</v>
      </c>
      <c r="L226" s="1" t="s">
        <v>78</v>
      </c>
      <c r="M226" s="1" t="s">
        <v>209</v>
      </c>
      <c r="N226" s="1" t="s">
        <v>99</v>
      </c>
      <c r="O226" s="2">
        <v>2299.0</v>
      </c>
      <c r="P226" s="2">
        <f t="shared" si="0"/>
        <v>898.046875</v>
      </c>
      <c r="Q226" s="3">
        <f t="shared" si="1"/>
        <v>0.221644193127447</v>
      </c>
      <c r="R226" s="2">
        <v>699.0</v>
      </c>
      <c r="S226" s="2">
        <f t="shared" si="13"/>
        <v>689.0</v>
      </c>
    </row>
    <row r="227" ht="17.0">
      <c r="A227" s="1" t="s">
        <v>45</v>
      </c>
      <c r="B227" s="1" t="s">
        <v>20</v>
      </c>
      <c r="C227" s="1" t="s">
        <v>21</v>
      </c>
      <c r="D227" s="1" t="s">
        <v>46</v>
      </c>
      <c r="E227" s="1" t="s">
        <v>451</v>
      </c>
      <c r="F227" s="1" t="s">
        <v>452</v>
      </c>
      <c r="G227" s="1" t="s">
        <v>24</v>
      </c>
      <c r="H227" s="1">
        <v>2.56</v>
      </c>
      <c r="I227" s="1" t="s">
        <v>297</v>
      </c>
      <c r="J227" s="1" t="s">
        <v>208</v>
      </c>
      <c r="K227" s="1" t="s">
        <v>27</v>
      </c>
      <c r="L227" s="1" t="s">
        <v>56</v>
      </c>
      <c r="M227" s="1" t="s">
        <v>209</v>
      </c>
      <c r="N227" s="1" t="s">
        <v>99</v>
      </c>
      <c r="O227" s="2">
        <v>2099.0</v>
      </c>
      <c r="P227" s="2">
        <f t="shared" si="0"/>
        <v>819.921875</v>
      </c>
      <c r="Q227" s="3">
        <f t="shared" si="1"/>
        <v>0.20846117198666</v>
      </c>
      <c r="R227" s="2">
        <v>649.0</v>
      </c>
      <c r="S227" s="2">
        <f t="shared" si="13"/>
        <v>639.0</v>
      </c>
    </row>
    <row r="228" ht="17.0">
      <c r="A228" s="1" t="s">
        <v>45</v>
      </c>
      <c r="B228" s="1" t="s">
        <v>20</v>
      </c>
      <c r="C228" s="1" t="s">
        <v>21</v>
      </c>
      <c r="D228" s="1" t="s">
        <v>46</v>
      </c>
      <c r="E228" s="1" t="s">
        <v>453</v>
      </c>
      <c r="F228" s="1" t="s">
        <v>454</v>
      </c>
      <c r="G228" s="1" t="s">
        <v>24</v>
      </c>
      <c r="H228" s="1">
        <v>2.56</v>
      </c>
      <c r="I228" s="1" t="s">
        <v>297</v>
      </c>
      <c r="J228" s="1" t="s">
        <v>208</v>
      </c>
      <c r="K228" s="1" t="s">
        <v>27</v>
      </c>
      <c r="L228" s="1" t="s">
        <v>28</v>
      </c>
      <c r="M228" s="1" t="s">
        <v>209</v>
      </c>
      <c r="N228" s="1" t="s">
        <v>99</v>
      </c>
      <c r="O228" s="2">
        <v>1899.0</v>
      </c>
      <c r="P228" s="2">
        <f t="shared" si="0"/>
        <v>741.796875</v>
      </c>
      <c r="Q228" s="3">
        <f t="shared" si="1"/>
        <v>0.125097419694577</v>
      </c>
      <c r="R228" s="2">
        <v>649.0</v>
      </c>
      <c r="S228" s="2">
        <f t="shared" si="13"/>
        <v>639.0</v>
      </c>
    </row>
    <row r="229" ht="17.0">
      <c r="A229" s="1" t="s">
        <v>45</v>
      </c>
      <c r="B229" s="1" t="s">
        <v>20</v>
      </c>
      <c r="C229" s="1" t="s">
        <v>21</v>
      </c>
      <c r="D229" s="1" t="s">
        <v>46</v>
      </c>
      <c r="E229" s="1" t="s">
        <v>455</v>
      </c>
      <c r="F229" s="1" t="s">
        <v>456</v>
      </c>
      <c r="G229" s="1" t="s">
        <v>24</v>
      </c>
      <c r="H229" s="1">
        <v>2.56</v>
      </c>
      <c r="I229" s="1" t="s">
        <v>297</v>
      </c>
      <c r="J229" s="1" t="s">
        <v>208</v>
      </c>
      <c r="K229" s="1" t="s">
        <v>27</v>
      </c>
      <c r="L229" s="1" t="s">
        <v>32</v>
      </c>
      <c r="M229" s="1" t="s">
        <v>209</v>
      </c>
      <c r="N229" s="1" t="s">
        <v>99</v>
      </c>
      <c r="O229" s="2">
        <v>1899.0</v>
      </c>
      <c r="P229" s="2">
        <f t="shared" si="0"/>
        <v>741.796875</v>
      </c>
      <c r="Q229" s="3">
        <f t="shared" si="1"/>
        <v>0.125097419694577</v>
      </c>
      <c r="R229" s="2">
        <v>649.0</v>
      </c>
      <c r="S229" s="2">
        <f t="shared" si="13"/>
        <v>639.0</v>
      </c>
    </row>
    <row r="230" ht="17.0">
      <c r="A230" s="1" t="s">
        <v>45</v>
      </c>
      <c r="B230" s="1" t="s">
        <v>20</v>
      </c>
      <c r="C230" s="1" t="s">
        <v>21</v>
      </c>
      <c r="D230" s="1" t="s">
        <v>46</v>
      </c>
      <c r="E230" s="1" t="s">
        <v>457</v>
      </c>
      <c r="F230" s="1" t="s">
        <v>458</v>
      </c>
      <c r="G230" s="1" t="s">
        <v>24</v>
      </c>
      <c r="H230" s="1">
        <v>2.56</v>
      </c>
      <c r="I230" s="1" t="s">
        <v>297</v>
      </c>
      <c r="J230" s="1" t="s">
        <v>208</v>
      </c>
      <c r="K230" s="1" t="s">
        <v>27</v>
      </c>
      <c r="L230" s="1" t="s">
        <v>32</v>
      </c>
      <c r="M230" s="1" t="s">
        <v>209</v>
      </c>
      <c r="N230" s="1" t="s">
        <v>99</v>
      </c>
      <c r="O230" s="2">
        <v>1899.0</v>
      </c>
      <c r="P230" s="2">
        <f t="shared" si="0"/>
        <v>741.796875</v>
      </c>
      <c r="Q230" s="3">
        <f t="shared" si="1"/>
        <v>0.125097419694577</v>
      </c>
      <c r="R230" s="2">
        <v>649.0</v>
      </c>
      <c r="S230" s="2">
        <f t="shared" si="13"/>
        <v>639.0</v>
      </c>
    </row>
    <row r="231" ht="17.0">
      <c r="A231" s="1" t="s">
        <v>45</v>
      </c>
      <c r="B231" s="1" t="s">
        <v>20</v>
      </c>
      <c r="C231" s="1" t="s">
        <v>21</v>
      </c>
      <c r="D231" s="1" t="s">
        <v>46</v>
      </c>
      <c r="E231" s="1" t="s">
        <v>459</v>
      </c>
      <c r="F231" s="1" t="s">
        <v>460</v>
      </c>
      <c r="G231" s="1" t="s">
        <v>24</v>
      </c>
      <c r="H231" s="1">
        <v>2.56</v>
      </c>
      <c r="I231" s="1" t="s">
        <v>297</v>
      </c>
      <c r="J231" s="1" t="s">
        <v>208</v>
      </c>
      <c r="K231" s="1" t="s">
        <v>42</v>
      </c>
      <c r="L231" s="1" t="s">
        <v>28</v>
      </c>
      <c r="M231" s="1" t="s">
        <v>29</v>
      </c>
      <c r="N231" s="1" t="s">
        <v>99</v>
      </c>
      <c r="O231" s="2">
        <v>1899.0</v>
      </c>
      <c r="P231" s="2">
        <f t="shared" si="0"/>
        <v>741.796875</v>
      </c>
      <c r="Q231" s="3">
        <f t="shared" si="1"/>
        <v>0.138578199052132</v>
      </c>
      <c r="R231" s="2">
        <v>639.0</v>
      </c>
      <c r="S231" s="2">
        <f t="shared" si="13"/>
        <v>629.0</v>
      </c>
    </row>
    <row r="232" ht="17.0">
      <c r="A232" s="1" t="s">
        <v>45</v>
      </c>
      <c r="B232" s="1" t="s">
        <v>20</v>
      </c>
      <c r="C232" s="1" t="s">
        <v>21</v>
      </c>
      <c r="D232" s="1" t="s">
        <v>46</v>
      </c>
      <c r="E232" s="1" t="s">
        <v>461</v>
      </c>
      <c r="F232" s="1" t="s">
        <v>462</v>
      </c>
      <c r="G232" s="1" t="s">
        <v>24</v>
      </c>
      <c r="H232" s="1">
        <v>2.56</v>
      </c>
      <c r="I232" s="1" t="s">
        <v>297</v>
      </c>
      <c r="J232" s="1" t="s">
        <v>208</v>
      </c>
      <c r="K232" s="1" t="s">
        <v>27</v>
      </c>
      <c r="L232" s="1" t="s">
        <v>63</v>
      </c>
      <c r="M232" s="1" t="s">
        <v>209</v>
      </c>
      <c r="N232" s="1" t="s">
        <v>99</v>
      </c>
      <c r="O232" s="2">
        <v>2449.0</v>
      </c>
      <c r="P232" s="2">
        <f t="shared" si="0"/>
        <v>956.640625</v>
      </c>
      <c r="Q232" s="3">
        <f t="shared" si="1"/>
        <v>0.23795835034708</v>
      </c>
      <c r="R232" s="2">
        <v>729.0</v>
      </c>
      <c r="S232" s="2">
        <f t="shared" si="13"/>
        <v>719.0</v>
      </c>
    </row>
    <row r="233" ht="17.0">
      <c r="A233" s="1" t="s">
        <v>45</v>
      </c>
      <c r="B233" s="1" t="s">
        <v>20</v>
      </c>
      <c r="C233" s="1" t="s">
        <v>21</v>
      </c>
      <c r="D233" s="1" t="s">
        <v>46</v>
      </c>
      <c r="E233" s="1" t="s">
        <v>463</v>
      </c>
      <c r="F233" s="1" t="s">
        <v>464</v>
      </c>
      <c r="G233" s="1" t="s">
        <v>24</v>
      </c>
      <c r="H233" s="1">
        <v>1.44</v>
      </c>
      <c r="I233" s="1" t="s">
        <v>207</v>
      </c>
      <c r="J233" s="1" t="s">
        <v>208</v>
      </c>
      <c r="K233" s="1" t="s">
        <v>27</v>
      </c>
      <c r="L233" s="1" t="s">
        <v>63</v>
      </c>
      <c r="M233" s="1" t="s">
        <v>209</v>
      </c>
      <c r="N233" s="1" t="s">
        <v>99</v>
      </c>
      <c r="O233" s="2">
        <v>799.0</v>
      </c>
      <c r="P233" s="2">
        <f t="shared" si="0"/>
        <v>554.861111111111</v>
      </c>
      <c r="Q233" s="3">
        <f t="shared" si="1"/>
        <v>0.172765957446809</v>
      </c>
      <c r="R233" s="2">
        <v>459.0</v>
      </c>
      <c r="S233" s="2">
        <f t="shared" si="13"/>
        <v>449.0</v>
      </c>
    </row>
    <row r="234" ht="17.0">
      <c r="A234" s="1" t="s">
        <v>45</v>
      </c>
      <c r="B234" s="1" t="s">
        <v>20</v>
      </c>
      <c r="C234" s="1" t="s">
        <v>21</v>
      </c>
      <c r="D234" s="1" t="s">
        <v>46</v>
      </c>
      <c r="E234" s="1" t="s">
        <v>465</v>
      </c>
      <c r="F234" s="1" t="s">
        <v>466</v>
      </c>
      <c r="G234" s="1" t="s">
        <v>24</v>
      </c>
      <c r="H234" s="1">
        <v>2.56</v>
      </c>
      <c r="I234" s="1" t="s">
        <v>297</v>
      </c>
      <c r="J234" s="1" t="s">
        <v>208</v>
      </c>
      <c r="K234" s="1" t="s">
        <v>42</v>
      </c>
      <c r="L234" s="1" t="s">
        <v>32</v>
      </c>
      <c r="M234" s="1" t="s">
        <v>209</v>
      </c>
      <c r="N234" s="1" t="s">
        <v>99</v>
      </c>
      <c r="O234" s="2">
        <v>2189.0</v>
      </c>
      <c r="P234" s="2">
        <f t="shared" si="0"/>
        <v>855.078125</v>
      </c>
      <c r="Q234" s="3">
        <f t="shared" si="1"/>
        <v>0.182530835998173</v>
      </c>
      <c r="R234" s="2">
        <v>699.0</v>
      </c>
      <c r="S234" s="2">
        <f t="shared" si="13"/>
        <v>689.0</v>
      </c>
    </row>
    <row r="235" ht="17.0">
      <c r="A235" s="1" t="s">
        <v>45</v>
      </c>
      <c r="B235" s="1" t="s">
        <v>20</v>
      </c>
      <c r="C235" s="1" t="s">
        <v>21</v>
      </c>
      <c r="D235" s="1" t="s">
        <v>46</v>
      </c>
      <c r="E235" s="1" t="s">
        <v>467</v>
      </c>
      <c r="F235" s="1" t="s">
        <v>468</v>
      </c>
      <c r="G235" s="1" t="s">
        <v>24</v>
      </c>
      <c r="H235" s="1">
        <v>2.56</v>
      </c>
      <c r="I235" s="1" t="s">
        <v>297</v>
      </c>
      <c r="J235" s="1" t="s">
        <v>208</v>
      </c>
      <c r="K235" s="1" t="s">
        <v>42</v>
      </c>
      <c r="L235" s="1" t="s">
        <v>74</v>
      </c>
      <c r="M235" s="1" t="s">
        <v>209</v>
      </c>
      <c r="N235" s="1" t="s">
        <v>99</v>
      </c>
      <c r="O235" s="2">
        <v>2299.0</v>
      </c>
      <c r="P235" s="2">
        <f t="shared" si="0"/>
        <v>898.046875</v>
      </c>
      <c r="Q235" s="3">
        <f t="shared" si="1"/>
        <v>0.221644193127447</v>
      </c>
      <c r="R235" s="2">
        <v>699.0</v>
      </c>
      <c r="S235" s="2">
        <f t="shared" si="13"/>
        <v>689.0</v>
      </c>
    </row>
    <row r="236" ht="17.0">
      <c r="A236" s="1" t="s">
        <v>45</v>
      </c>
      <c r="B236" s="1" t="s">
        <v>20</v>
      </c>
      <c r="C236" s="1" t="s">
        <v>21</v>
      </c>
      <c r="D236" s="1" t="s">
        <v>469</v>
      </c>
      <c r="E236" s="1" t="s">
        <v>470</v>
      </c>
      <c r="F236" s="1" t="s">
        <v>471</v>
      </c>
      <c r="G236" s="1" t="s">
        <v>24</v>
      </c>
      <c r="H236" s="1">
        <v>0.9</v>
      </c>
      <c r="I236" s="1" t="s">
        <v>472</v>
      </c>
      <c r="J236" s="1" t="s">
        <v>26</v>
      </c>
      <c r="K236" s="1" t="s">
        <v>27</v>
      </c>
      <c r="L236" s="1" t="s">
        <v>56</v>
      </c>
      <c r="M236" s="1" t="s">
        <v>29</v>
      </c>
      <c r="N236" s="1" t="s">
        <v>30</v>
      </c>
      <c r="O236" s="2">
        <v>899.0</v>
      </c>
      <c r="P236" s="2">
        <f t="shared" si="0"/>
        <v>998.888888888889</v>
      </c>
      <c r="Q236" s="3">
        <f t="shared" si="1"/>
        <v>0.150055617352613</v>
      </c>
      <c r="R236" s="2">
        <v>849.0</v>
      </c>
      <c r="S236" s="2">
        <f t="shared" si="13"/>
        <v>839.0</v>
      </c>
    </row>
    <row r="237" ht="17.0">
      <c r="A237" s="1" t="s">
        <v>45</v>
      </c>
      <c r="B237" s="1" t="s">
        <v>20</v>
      </c>
      <c r="C237" s="1" t="s">
        <v>21</v>
      </c>
      <c r="D237" s="1" t="s">
        <v>469</v>
      </c>
      <c r="E237" s="1" t="s">
        <v>473</v>
      </c>
      <c r="F237" s="1" t="s">
        <v>474</v>
      </c>
      <c r="G237" s="1" t="s">
        <v>24</v>
      </c>
      <c r="H237" s="1">
        <v>0.9</v>
      </c>
      <c r="I237" s="1" t="s">
        <v>472</v>
      </c>
      <c r="J237" s="1" t="s">
        <v>26</v>
      </c>
      <c r="K237" s="1" t="s">
        <v>27</v>
      </c>
      <c r="L237" s="1" t="s">
        <v>63</v>
      </c>
      <c r="M237" s="1" t="s">
        <v>29</v>
      </c>
      <c r="N237" s="1" t="s">
        <v>30</v>
      </c>
      <c r="O237" s="2">
        <v>959.0</v>
      </c>
      <c r="P237" s="2">
        <f t="shared" si="0"/>
        <v>1065.55555555556</v>
      </c>
      <c r="Q237" s="3">
        <f t="shared" si="1"/>
        <v>0.165693430656936</v>
      </c>
      <c r="R237" s="2">
        <v>889.0</v>
      </c>
      <c r="S237" s="2">
        <f t="shared" si="13"/>
        <v>879.0</v>
      </c>
    </row>
    <row r="238" ht="17.0">
      <c r="A238" s="1" t="s">
        <v>45</v>
      </c>
      <c r="B238" s="1" t="s">
        <v>20</v>
      </c>
      <c r="C238" s="1" t="s">
        <v>21</v>
      </c>
      <c r="D238" s="1" t="s">
        <v>46</v>
      </c>
      <c r="E238" s="1" t="s">
        <v>475</v>
      </c>
      <c r="F238" s="1" t="s">
        <v>476</v>
      </c>
      <c r="G238" s="1" t="s">
        <v>24</v>
      </c>
      <c r="H238" s="1">
        <v>1.44</v>
      </c>
      <c r="I238" s="1" t="s">
        <v>207</v>
      </c>
      <c r="J238" s="11" t="s">
        <v>208</v>
      </c>
      <c r="K238" s="11" t="s">
        <v>27</v>
      </c>
      <c r="L238" s="11" t="s">
        <v>477</v>
      </c>
      <c r="M238" s="11" t="s">
        <v>209</v>
      </c>
      <c r="N238" s="11" t="s">
        <v>99</v>
      </c>
      <c r="O238" s="2">
        <v>499.0</v>
      </c>
      <c r="P238" s="2">
        <f t="shared" si="0"/>
        <v>346.527777777778</v>
      </c>
      <c r="Q238" s="3">
        <f t="shared" si="1"/>
        <v>0.137154308617235</v>
      </c>
      <c r="R238" s="2">
        <v>299.0</v>
      </c>
      <c r="S238" s="2">
        <f t="shared" si="13"/>
        <v>289.0</v>
      </c>
    </row>
    <row r="239" ht="17.0" customFormat="1" s="1">
      <c r="A239" s="1" t="s">
        <v>45</v>
      </c>
      <c r="B239" s="1" t="s">
        <v>20</v>
      </c>
      <c r="C239" s="1" t="s">
        <v>21</v>
      </c>
      <c r="D239" s="1" t="s">
        <v>46</v>
      </c>
      <c r="E239" s="1" t="s">
        <v>478</v>
      </c>
      <c r="F239" s="1" t="s">
        <v>479</v>
      </c>
      <c r="G239" s="1" t="s">
        <v>24</v>
      </c>
      <c r="H239" s="1">
        <v>1.44</v>
      </c>
      <c r="I239" s="1" t="s">
        <v>207</v>
      </c>
      <c r="J239" s="11" t="s">
        <v>208</v>
      </c>
      <c r="K239" s="11" t="s">
        <v>27</v>
      </c>
      <c r="L239" s="11" t="s">
        <v>56</v>
      </c>
      <c r="M239" s="11" t="s">
        <v>209</v>
      </c>
      <c r="N239" s="11" t="s">
        <v>99</v>
      </c>
      <c r="O239" s="2">
        <v>499.0</v>
      </c>
      <c r="P239" s="2">
        <f t="shared" si="0"/>
        <v>346.527777777778</v>
      </c>
      <c r="Q239" s="3">
        <f t="shared" si="1"/>
        <v>0.137154308617235</v>
      </c>
      <c r="R239" s="2">
        <v>299.0</v>
      </c>
      <c r="S239" s="2">
        <f t="shared" si="13"/>
        <v>289.0</v>
      </c>
    </row>
    <row r="240" ht="17.0">
      <c r="A240" s="11" t="s">
        <v>92</v>
      </c>
      <c r="B240" s="11" t="s">
        <v>20</v>
      </c>
      <c r="C240" s="11" t="s">
        <v>480</v>
      </c>
      <c r="D240" s="11" t="s">
        <v>481</v>
      </c>
      <c r="E240" s="11" t="s">
        <v>482</v>
      </c>
      <c r="F240" s="11" t="s">
        <v>483</v>
      </c>
      <c r="G240" s="11" t="s">
        <v>24</v>
      </c>
      <c r="H240" s="11">
        <v>2.13</v>
      </c>
      <c r="I240" s="11" t="s">
        <v>404</v>
      </c>
      <c r="J240" s="11" t="s">
        <v>208</v>
      </c>
      <c r="K240" s="11" t="s">
        <v>27</v>
      </c>
      <c r="L240" s="11" t="s">
        <v>56</v>
      </c>
      <c r="M240" s="11" t="s">
        <v>215</v>
      </c>
      <c r="N240" s="11" t="s">
        <v>99</v>
      </c>
      <c r="O240" s="12">
        <v>619.0</v>
      </c>
      <c r="P240" s="2">
        <f t="shared" si="0"/>
        <v>290.610328638498</v>
      </c>
      <c r="Q240" s="3">
        <f t="shared" si="1"/>
        <v>0.14318255250404</v>
      </c>
      <c r="R240" s="12">
        <v>249.0</v>
      </c>
      <c r="S240" s="12">
        <v>239.0</v>
      </c>
    </row>
    <row r="241" ht="17.0">
      <c r="A241" s="13" t="s">
        <v>369</v>
      </c>
      <c r="B241" s="11" t="s">
        <v>20</v>
      </c>
      <c r="C241" s="13" t="s">
        <v>480</v>
      </c>
      <c r="D241" s="13" t="s">
        <v>370</v>
      </c>
      <c r="E241" s="13" t="s">
        <v>484</v>
      </c>
      <c r="F241" s="13" t="s">
        <v>485</v>
      </c>
      <c r="G241" s="13" t="s">
        <v>24</v>
      </c>
      <c r="H241" s="13">
        <v>1.44</v>
      </c>
      <c r="I241" s="14" t="s">
        <v>278</v>
      </c>
      <c r="J241" s="11" t="s">
        <v>208</v>
      </c>
      <c r="K241" s="11" t="s">
        <v>27</v>
      </c>
      <c r="L241" s="11" t="s">
        <v>56</v>
      </c>
      <c r="M241" s="1" t="s">
        <v>209</v>
      </c>
      <c r="N241" s="1" t="s">
        <v>209</v>
      </c>
      <c r="O241" s="2">
        <v>984.43</v>
      </c>
      <c r="P241" s="2">
        <f t="shared" si="0"/>
        <v>683.631944444444</v>
      </c>
      <c r="Q241" s="3">
        <f t="shared" si="1"/>
        <v>0.460235872535376</v>
      </c>
      <c r="R241" s="2">
        <v>369.0</v>
      </c>
      <c r="S241" s="2">
        <v>359.0</v>
      </c>
    </row>
    <row r="242" ht="17.0">
      <c r="A242" s="11" t="s">
        <v>92</v>
      </c>
      <c r="B242" s="11" t="s">
        <v>20</v>
      </c>
      <c r="C242" s="11" t="s">
        <v>480</v>
      </c>
      <c r="D242" s="11" t="s">
        <v>481</v>
      </c>
      <c r="E242" s="11" t="s">
        <v>486</v>
      </c>
      <c r="F242" s="11" t="s">
        <v>487</v>
      </c>
      <c r="G242" s="13" t="s">
        <v>24</v>
      </c>
      <c r="H242" s="11">
        <v>2.13</v>
      </c>
      <c r="I242" s="11" t="s">
        <v>207</v>
      </c>
      <c r="J242" s="1" t="s">
        <v>26</v>
      </c>
      <c r="K242" s="1" t="s">
        <v>42</v>
      </c>
      <c r="L242" s="1" t="s">
        <v>28</v>
      </c>
      <c r="M242" s="1" t="s">
        <v>29</v>
      </c>
      <c r="N242" s="1" t="s">
        <v>99</v>
      </c>
      <c r="O242" s="12">
        <v>749.0</v>
      </c>
      <c r="P242" s="2">
        <f t="shared" si="0"/>
        <v>351.643192488262</v>
      </c>
      <c r="Q242" s="3">
        <f t="shared" si="1"/>
        <v>0.17814419225634</v>
      </c>
      <c r="R242" s="12">
        <v>289.0</v>
      </c>
      <c r="S242" s="12">
        <v>279.0</v>
      </c>
    </row>
    <row r="243" ht="17.0">
      <c r="A243" s="11" t="s">
        <v>92</v>
      </c>
      <c r="B243" s="11" t="s">
        <v>20</v>
      </c>
      <c r="C243" s="11" t="s">
        <v>480</v>
      </c>
      <c r="D243" s="11" t="s">
        <v>481</v>
      </c>
      <c r="E243" s="11" t="s">
        <v>488</v>
      </c>
      <c r="F243" s="11" t="s">
        <v>489</v>
      </c>
      <c r="G243" s="13" t="s">
        <v>24</v>
      </c>
      <c r="H243" s="11">
        <v>2.13</v>
      </c>
      <c r="I243" s="11" t="s">
        <v>207</v>
      </c>
      <c r="J243" s="1" t="s">
        <v>26</v>
      </c>
      <c r="K243" s="1" t="s">
        <v>195</v>
      </c>
      <c r="L243" s="1" t="s">
        <v>131</v>
      </c>
      <c r="M243" s="1" t="s">
        <v>98</v>
      </c>
      <c r="N243" s="1" t="s">
        <v>99</v>
      </c>
      <c r="O243" s="12">
        <v>749.0</v>
      </c>
      <c r="P243" s="2">
        <f t="shared" si="0"/>
        <v>351.643192488262</v>
      </c>
      <c r="Q243" s="3">
        <f t="shared" si="1"/>
        <v>0.17814419225634</v>
      </c>
      <c r="R243" s="12">
        <v>289.0</v>
      </c>
      <c r="S243" s="12">
        <v>279.0</v>
      </c>
    </row>
    <row r="244" ht="17.0">
      <c r="A244" s="11" t="s">
        <v>92</v>
      </c>
      <c r="B244" s="11" t="s">
        <v>20</v>
      </c>
      <c r="C244" s="11" t="s">
        <v>480</v>
      </c>
      <c r="D244" s="11" t="s">
        <v>481</v>
      </c>
      <c r="E244" s="11" t="s">
        <v>490</v>
      </c>
      <c r="F244" s="11" t="s">
        <v>491</v>
      </c>
      <c r="G244" s="13" t="s">
        <v>24</v>
      </c>
      <c r="H244" s="11">
        <v>2.13</v>
      </c>
      <c r="I244" s="11" t="s">
        <v>207</v>
      </c>
      <c r="J244" s="1" t="s">
        <v>26</v>
      </c>
      <c r="K244" s="1" t="s">
        <v>27</v>
      </c>
      <c r="L244" s="1" t="s">
        <v>97</v>
      </c>
      <c r="M244" s="1" t="s">
        <v>98</v>
      </c>
      <c r="N244" s="1" t="s">
        <v>99</v>
      </c>
      <c r="O244" s="12">
        <v>769.0</v>
      </c>
      <c r="P244" s="2">
        <f t="shared" si="0"/>
        <v>361.032863849765</v>
      </c>
      <c r="Q244" s="3">
        <f t="shared" si="1"/>
        <v>0.199518855656697</v>
      </c>
      <c r="R244" s="12">
        <v>289.0</v>
      </c>
      <c r="S244" s="12">
        <v>279.0</v>
      </c>
    </row>
    <row r="245" ht="17.0">
      <c r="A245" s="11" t="s">
        <v>92</v>
      </c>
      <c r="B245" s="11" t="s">
        <v>20</v>
      </c>
      <c r="C245" s="11" t="s">
        <v>480</v>
      </c>
      <c r="D245" s="11" t="s">
        <v>481</v>
      </c>
      <c r="E245" s="11" t="s">
        <v>492</v>
      </c>
      <c r="F245" s="11" t="s">
        <v>493</v>
      </c>
      <c r="G245" s="13" t="s">
        <v>24</v>
      </c>
      <c r="H245" s="11">
        <v>2.13</v>
      </c>
      <c r="I245" s="11" t="s">
        <v>207</v>
      </c>
      <c r="J245" s="1" t="s">
        <v>26</v>
      </c>
      <c r="K245" s="1" t="s">
        <v>42</v>
      </c>
      <c r="L245" s="1" t="s">
        <v>349</v>
      </c>
      <c r="M245" s="1" t="s">
        <v>29</v>
      </c>
      <c r="N245" s="1" t="s">
        <v>99</v>
      </c>
      <c r="O245" s="12">
        <v>719.0</v>
      </c>
      <c r="P245" s="2">
        <f t="shared" si="0"/>
        <v>337.558685446009</v>
      </c>
      <c r="Q245" s="3">
        <f t="shared" si="1"/>
        <v>0.143852573018078</v>
      </c>
      <c r="R245" s="12">
        <v>289.0</v>
      </c>
      <c r="S245" s="12">
        <v>249.0</v>
      </c>
    </row>
    <row r="246" ht="17.0">
      <c r="A246" s="11" t="s">
        <v>92</v>
      </c>
      <c r="B246" s="11" t="s">
        <v>20</v>
      </c>
      <c r="C246" s="11" t="s">
        <v>480</v>
      </c>
      <c r="D246" s="11" t="s">
        <v>481</v>
      </c>
      <c r="E246" s="11" t="s">
        <v>494</v>
      </c>
      <c r="F246" s="11" t="s">
        <v>495</v>
      </c>
      <c r="G246" s="13" t="s">
        <v>24</v>
      </c>
      <c r="H246" s="11">
        <v>2.13</v>
      </c>
      <c r="I246" s="11" t="s">
        <v>207</v>
      </c>
      <c r="J246" s="1" t="s">
        <v>26</v>
      </c>
      <c r="K246" s="1" t="s">
        <v>42</v>
      </c>
      <c r="L246" s="1" t="s">
        <v>349</v>
      </c>
      <c r="M246" s="1" t="s">
        <v>29</v>
      </c>
      <c r="N246" s="1" t="s">
        <v>99</v>
      </c>
      <c r="O246" s="12">
        <v>719.0</v>
      </c>
      <c r="P246" s="2">
        <f t="shared" si="0"/>
        <v>337.558685446009</v>
      </c>
      <c r="Q246" s="3">
        <f t="shared" si="1"/>
        <v>0.143852573018078</v>
      </c>
      <c r="R246" s="12">
        <v>289.0</v>
      </c>
      <c r="S246" s="12">
        <v>259.0</v>
      </c>
    </row>
    <row r="247" ht="17.0">
      <c r="A247" s="11" t="s">
        <v>92</v>
      </c>
      <c r="B247" s="11" t="s">
        <v>20</v>
      </c>
      <c r="C247" s="11" t="s">
        <v>480</v>
      </c>
      <c r="D247" s="11" t="s">
        <v>481</v>
      </c>
      <c r="E247" s="11" t="s">
        <v>496</v>
      </c>
      <c r="F247" s="11" t="s">
        <v>497</v>
      </c>
      <c r="G247" s="13" t="s">
        <v>24</v>
      </c>
      <c r="H247" s="11">
        <v>2.13</v>
      </c>
      <c r="I247" s="11" t="s">
        <v>207</v>
      </c>
      <c r="J247" s="1" t="s">
        <v>26</v>
      </c>
      <c r="K247" s="1" t="s">
        <v>42</v>
      </c>
      <c r="L247" s="1" t="s">
        <v>32</v>
      </c>
      <c r="M247" s="1" t="s">
        <v>29</v>
      </c>
      <c r="N247" s="1" t="s">
        <v>99</v>
      </c>
      <c r="O247" s="12">
        <v>749.0</v>
      </c>
      <c r="P247" s="2">
        <f t="shared" si="0"/>
        <v>351.643192488262</v>
      </c>
      <c r="Q247" s="3">
        <f t="shared" si="1"/>
        <v>0.206582109479304</v>
      </c>
      <c r="R247" s="12">
        <v>279.0</v>
      </c>
      <c r="S247" s="12">
        <v>269.0</v>
      </c>
    </row>
    <row r="248" ht="17.0">
      <c r="A248" s="11" t="s">
        <v>92</v>
      </c>
      <c r="B248" s="11" t="s">
        <v>20</v>
      </c>
      <c r="C248" s="11" t="s">
        <v>480</v>
      </c>
      <c r="D248" s="11" t="s">
        <v>481</v>
      </c>
      <c r="E248" s="11" t="s">
        <v>498</v>
      </c>
      <c r="F248" s="11" t="s">
        <v>499</v>
      </c>
      <c r="G248" s="13" t="s">
        <v>24</v>
      </c>
      <c r="H248" s="11">
        <v>2.13</v>
      </c>
      <c r="I248" s="11" t="s">
        <v>207</v>
      </c>
      <c r="J248" s="1" t="s">
        <v>26</v>
      </c>
      <c r="K248" s="1" t="s">
        <v>42</v>
      </c>
      <c r="L248" s="1" t="s">
        <v>131</v>
      </c>
      <c r="M248" s="1" t="s">
        <v>29</v>
      </c>
      <c r="N248" s="1" t="s">
        <v>99</v>
      </c>
      <c r="O248" s="12">
        <v>749.0</v>
      </c>
      <c r="P248" s="2">
        <f t="shared" si="0"/>
        <v>351.643192488262</v>
      </c>
      <c r="Q248" s="3">
        <f t="shared" si="1"/>
        <v>0.291895861148196</v>
      </c>
      <c r="R248" s="12">
        <v>249.0</v>
      </c>
      <c r="S248" s="12">
        <v>249.0</v>
      </c>
    </row>
    <row r="249" ht="17.0" customFormat="1" s="1">
      <c r="A249" s="1" t="s">
        <v>19</v>
      </c>
      <c r="B249" s="1" t="s">
        <v>500</v>
      </c>
      <c r="C249" s="1" t="s">
        <v>21</v>
      </c>
      <c r="D249" s="1" t="s">
        <v>22</v>
      </c>
      <c r="E249" s="10">
        <v>5.21499425178901E14</v>
      </c>
      <c r="F249" s="1" t="s">
        <v>501</v>
      </c>
      <c r="G249" s="1" t="s">
        <v>24</v>
      </c>
      <c r="H249" s="1">
        <v>1.78</v>
      </c>
      <c r="I249" s="1" t="s">
        <v>41</v>
      </c>
      <c r="J249" s="1" t="s">
        <v>26</v>
      </c>
      <c r="K249" s="1" t="s">
        <v>27</v>
      </c>
      <c r="L249" s="1" t="s">
        <v>56</v>
      </c>
      <c r="M249" s="1" t="s">
        <v>502</v>
      </c>
      <c r="N249" s="1" t="s">
        <v>30</v>
      </c>
      <c r="O249" s="2">
        <v>339.0</v>
      </c>
      <c r="P249" s="2">
        <f t="shared" si="0"/>
        <v>190.449438202247</v>
      </c>
      <c r="Q249" s="3">
        <f t="shared" si="1"/>
        <v>0.291150442477876</v>
      </c>
      <c r="R249" s="2">
        <v>135.0</v>
      </c>
      <c r="S249" s="2">
        <v>0.0</v>
      </c>
    </row>
  </sheetData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5B9BD5"/>
  </sheetPr>
  <dimension ref="A1:K257"/>
  <sheetViews>
    <sheetView workbookViewId="0"/>
  </sheetViews>
  <sheetFormatPr defaultRowHeight="15.0" customHeight="1"/>
  <cols>
    <col min="1" max="1" style="1" width="11.52"/>
    <col min="2" max="2" style="1" width="14.3"/>
    <col min="3" max="3" style="1" width="53.26"/>
    <col min="4" max="5" style="1" width="11.52"/>
    <col min="6" max="6" style="15" width="11.52"/>
    <col min="7" max="7" style="1" width="11.52"/>
    <col min="8" max="8" style="16" width="11.52"/>
    <col min="9" max="10" style="15" width="11.52"/>
    <col min="11" max="11" style="17" width="40.54"/>
    <col min="12" max="2048" width="10.86"/>
  </cols>
  <sheetData>
    <row r="1" ht="58.0" customFormat="1" s="21">
      <c r="A1" s="4" t="s">
        <v>0</v>
      </c>
      <c r="B1" s="4" t="s">
        <v>4</v>
      </c>
      <c r="C1" s="4" t="s">
        <v>5</v>
      </c>
      <c r="D1" s="4" t="s">
        <v>7</v>
      </c>
      <c r="E1" s="4" t="s">
        <v>8</v>
      </c>
      <c r="F1" s="18" t="s">
        <v>14</v>
      </c>
      <c r="G1" s="18" t="s">
        <v>15</v>
      </c>
      <c r="H1" s="19" t="s">
        <v>16</v>
      </c>
      <c r="I1" s="18" t="s">
        <v>17</v>
      </c>
      <c r="J1" s="20" t="s">
        <v>18</v>
      </c>
      <c r="K1" s="20" t="s">
        <v>503</v>
      </c>
    </row>
    <row r="2" ht="17.0">
      <c r="A2" s="1" t="s">
        <v>504</v>
      </c>
      <c r="B2" s="1" t="s">
        <v>505</v>
      </c>
      <c r="C2" s="1" t="s">
        <v>506</v>
      </c>
      <c r="D2" s="1">
        <v>1.0</v>
      </c>
      <c r="E2" s="1" t="s">
        <v>507</v>
      </c>
      <c r="F2" s="15">
        <v>579.0</v>
      </c>
      <c r="G2" s="15">
        <f t="shared" ref="G2:G257" si="0">F2/D2</f>
        <v>579.0</v>
      </c>
      <c r="H2" s="16">
        <f t="shared" ref="H2:H257" si="1">(I2/G2-1)*-1</f>
        <v>0.069084628670121</v>
      </c>
      <c r="I2" s="15">
        <v>539.0</v>
      </c>
    </row>
    <row r="3" ht="17.0">
      <c r="A3" s="1" t="s">
        <v>504</v>
      </c>
      <c r="B3" s="1" t="s">
        <v>508</v>
      </c>
      <c r="C3" s="1" t="s">
        <v>509</v>
      </c>
      <c r="D3" s="1">
        <v>1.0</v>
      </c>
      <c r="E3" s="1" t="s">
        <v>507</v>
      </c>
      <c r="F3" s="15">
        <v>579.0</v>
      </c>
      <c r="G3" s="15">
        <f t="shared" si="0"/>
        <v>579.0</v>
      </c>
      <c r="H3" s="16">
        <f t="shared" si="1"/>
        <v>0.069084628670121</v>
      </c>
      <c r="I3" s="15">
        <v>539.0</v>
      </c>
    </row>
    <row r="4" ht="17.0">
      <c r="A4" s="1" t="s">
        <v>504</v>
      </c>
      <c r="B4" s="1" t="s">
        <v>510</v>
      </c>
      <c r="C4" s="1" t="s">
        <v>511</v>
      </c>
      <c r="D4" s="1">
        <v>1.0</v>
      </c>
      <c r="E4" s="1" t="s">
        <v>507</v>
      </c>
      <c r="F4" s="15">
        <v>579.0</v>
      </c>
      <c r="G4" s="15">
        <f t="shared" si="0"/>
        <v>579.0</v>
      </c>
      <c r="H4" s="16">
        <f t="shared" si="1"/>
        <v>0.069084628670121</v>
      </c>
      <c r="I4" s="15">
        <v>539.0</v>
      </c>
    </row>
    <row r="5" ht="17.0">
      <c r="A5" s="1" t="s">
        <v>504</v>
      </c>
      <c r="B5" s="1" t="s">
        <v>512</v>
      </c>
      <c r="C5" s="1" t="s">
        <v>513</v>
      </c>
      <c r="D5" s="1">
        <v>1.0</v>
      </c>
      <c r="E5" s="1" t="s">
        <v>507</v>
      </c>
      <c r="F5" s="15">
        <v>579.0</v>
      </c>
      <c r="G5" s="15">
        <f t="shared" si="0"/>
        <v>579.0</v>
      </c>
      <c r="H5" s="16">
        <f t="shared" si="1"/>
        <v>0.069084628670121</v>
      </c>
      <c r="I5" s="15">
        <v>539.0</v>
      </c>
    </row>
    <row r="6" ht="17.0">
      <c r="A6" s="1" t="s">
        <v>504</v>
      </c>
      <c r="B6" s="1" t="s">
        <v>514</v>
      </c>
      <c r="C6" s="1" t="s">
        <v>515</v>
      </c>
      <c r="D6" s="1">
        <v>2.88</v>
      </c>
      <c r="E6" s="1" t="s">
        <v>516</v>
      </c>
      <c r="F6" s="15">
        <v>2327.0</v>
      </c>
      <c r="G6" s="15">
        <f t="shared" si="0"/>
        <v>807.986111111111</v>
      </c>
      <c r="H6" s="16">
        <f t="shared" si="1"/>
        <v>0.271027073485173</v>
      </c>
      <c r="I6" s="15">
        <v>589.0</v>
      </c>
    </row>
    <row r="7" ht="17.0">
      <c r="A7" s="1" t="s">
        <v>504</v>
      </c>
      <c r="B7" s="1" t="s">
        <v>517</v>
      </c>
      <c r="C7" s="1" t="s">
        <v>518</v>
      </c>
      <c r="D7" s="1">
        <v>2.88</v>
      </c>
      <c r="E7" s="1" t="s">
        <v>519</v>
      </c>
      <c r="F7" s="15">
        <v>3308.69</v>
      </c>
      <c r="G7" s="15">
        <f t="shared" si="0"/>
        <v>1148.85069444444</v>
      </c>
      <c r="H7" s="16">
        <f t="shared" si="1"/>
        <v>0.130435308233769</v>
      </c>
      <c r="I7" s="15">
        <v>999.0</v>
      </c>
    </row>
    <row r="8" ht="17.0">
      <c r="A8" s="1" t="s">
        <v>504</v>
      </c>
      <c r="B8" s="1" t="s">
        <v>520</v>
      </c>
      <c r="C8" s="1" t="s">
        <v>521</v>
      </c>
      <c r="D8" s="1">
        <v>2.88</v>
      </c>
      <c r="E8" s="1" t="s">
        <v>519</v>
      </c>
      <c r="F8" s="15">
        <v>3308.69</v>
      </c>
      <c r="G8" s="15">
        <f t="shared" si="0"/>
        <v>1148.85069444444</v>
      </c>
      <c r="H8" s="16">
        <f t="shared" si="1"/>
        <v>0.130435308233769</v>
      </c>
      <c r="I8" s="15">
        <v>999.0</v>
      </c>
    </row>
    <row r="9" ht="17.0">
      <c r="A9" s="1" t="s">
        <v>504</v>
      </c>
      <c r="B9" s="1" t="s">
        <v>522</v>
      </c>
      <c r="C9" s="1" t="s">
        <v>523</v>
      </c>
      <c r="D9" s="1">
        <v>2.88</v>
      </c>
      <c r="E9" s="1" t="s">
        <v>519</v>
      </c>
      <c r="F9" s="15">
        <v>3308.69</v>
      </c>
      <c r="G9" s="15">
        <f t="shared" si="0"/>
        <v>1148.85069444444</v>
      </c>
      <c r="H9" s="16">
        <f t="shared" si="1"/>
        <v>0.130435308233769</v>
      </c>
      <c r="I9" s="15">
        <v>999.0</v>
      </c>
      <c r="J9" s="15">
        <v>499.0</v>
      </c>
      <c r="K9" s="11" t="s">
        <v>524</v>
      </c>
    </row>
    <row r="10" ht="17.0">
      <c r="A10" s="1" t="s">
        <v>504</v>
      </c>
      <c r="B10" s="1" t="s">
        <v>525</v>
      </c>
      <c r="C10" s="1" t="s">
        <v>526</v>
      </c>
      <c r="D10" s="1">
        <v>2.88</v>
      </c>
      <c r="E10" s="1" t="s">
        <v>519</v>
      </c>
      <c r="F10" s="15">
        <v>4277.0</v>
      </c>
      <c r="G10" s="15">
        <f t="shared" si="0"/>
        <v>1485.06944444444</v>
      </c>
      <c r="H10" s="16">
        <f t="shared" si="1"/>
        <v>0.300369417816223</v>
      </c>
      <c r="I10" s="15">
        <v>1039.0</v>
      </c>
    </row>
    <row r="11" ht="17.0">
      <c r="A11" s="1" t="s">
        <v>504</v>
      </c>
      <c r="B11" s="1" t="s">
        <v>527</v>
      </c>
      <c r="C11" s="1" t="s">
        <v>528</v>
      </c>
      <c r="D11" s="1">
        <v>2.88</v>
      </c>
      <c r="E11" s="1" t="s">
        <v>519</v>
      </c>
      <c r="F11" s="15">
        <v>4277.0</v>
      </c>
      <c r="G11" s="15">
        <f t="shared" si="0"/>
        <v>1485.06944444444</v>
      </c>
      <c r="H11" s="16">
        <f t="shared" si="1"/>
        <v>0.300369417816223</v>
      </c>
      <c r="I11" s="15">
        <v>1039.0</v>
      </c>
    </row>
    <row r="12" ht="17.0">
      <c r="A12" s="1" t="s">
        <v>504</v>
      </c>
      <c r="B12" s="1" t="s">
        <v>529</v>
      </c>
      <c r="C12" s="1" t="s">
        <v>530</v>
      </c>
      <c r="D12" s="1">
        <v>2.88</v>
      </c>
      <c r="E12" s="1" t="s">
        <v>519</v>
      </c>
      <c r="F12" s="15">
        <v>4277.0</v>
      </c>
      <c r="G12" s="15">
        <f t="shared" si="0"/>
        <v>1485.06944444444</v>
      </c>
      <c r="H12" s="16">
        <f t="shared" si="1"/>
        <v>0.300369417816223</v>
      </c>
      <c r="I12" s="15">
        <v>1039.0</v>
      </c>
    </row>
    <row r="13" ht="17.0">
      <c r="A13" s="1" t="s">
        <v>504</v>
      </c>
      <c r="B13" s="1" t="s">
        <v>531</v>
      </c>
      <c r="C13" s="1" t="s">
        <v>532</v>
      </c>
      <c r="D13" s="1">
        <v>2.88</v>
      </c>
      <c r="E13" s="1" t="s">
        <v>519</v>
      </c>
      <c r="F13" s="15">
        <v>4277.0</v>
      </c>
      <c r="G13" s="15">
        <f t="shared" si="0"/>
        <v>1485.06944444444</v>
      </c>
      <c r="H13" s="16">
        <f t="shared" si="1"/>
        <v>0.300369417816223</v>
      </c>
      <c r="I13" s="15">
        <v>1039.0</v>
      </c>
      <c r="J13" s="15">
        <v>499.0</v>
      </c>
      <c r="K13" s="11" t="s">
        <v>524</v>
      </c>
    </row>
    <row r="14" ht="17.0">
      <c r="A14" s="1" t="s">
        <v>504</v>
      </c>
      <c r="B14" s="1" t="s">
        <v>533</v>
      </c>
      <c r="C14" s="1" t="s">
        <v>534</v>
      </c>
      <c r="D14" s="1">
        <v>1.2</v>
      </c>
      <c r="E14" s="1" t="s">
        <v>288</v>
      </c>
      <c r="F14" s="15">
        <v>1299.0</v>
      </c>
      <c r="G14" s="15">
        <f t="shared" si="0"/>
        <v>1082.5</v>
      </c>
      <c r="H14" s="16">
        <f t="shared" si="1"/>
        <v>0.742263279445728</v>
      </c>
      <c r="I14" s="15">
        <v>279.0</v>
      </c>
      <c r="J14" s="15">
        <v>269.0</v>
      </c>
    </row>
    <row r="15" ht="17.0">
      <c r="A15" s="1" t="s">
        <v>504</v>
      </c>
      <c r="B15" s="1" t="s">
        <v>535</v>
      </c>
      <c r="C15" s="1" t="s">
        <v>536</v>
      </c>
      <c r="D15" s="1">
        <v>1.2</v>
      </c>
      <c r="E15" s="1" t="s">
        <v>288</v>
      </c>
      <c r="F15" s="15">
        <v>729.0</v>
      </c>
      <c r="G15" s="15">
        <f t="shared" si="0"/>
        <v>607.5</v>
      </c>
      <c r="H15" s="16">
        <f t="shared" si="1"/>
        <v>0.178600823045268</v>
      </c>
      <c r="I15" s="15">
        <v>499.0</v>
      </c>
      <c r="J15" s="15">
        <v>489.0</v>
      </c>
    </row>
    <row r="16" ht="17.0">
      <c r="A16" s="1" t="s">
        <v>504</v>
      </c>
      <c r="B16" s="1" t="s">
        <v>537</v>
      </c>
      <c r="C16" s="1" t="s">
        <v>538</v>
      </c>
      <c r="D16" s="1">
        <v>1.2</v>
      </c>
      <c r="E16" s="1" t="s">
        <v>288</v>
      </c>
      <c r="F16" s="15">
        <v>1299.0</v>
      </c>
      <c r="G16" s="15">
        <f t="shared" si="0"/>
        <v>1082.5</v>
      </c>
      <c r="H16" s="16">
        <f t="shared" si="1"/>
        <v>0.539030023094689</v>
      </c>
      <c r="I16" s="15">
        <v>499.0</v>
      </c>
      <c r="J16" s="15">
        <v>489.0</v>
      </c>
    </row>
    <row r="17" ht="17.0">
      <c r="A17" s="1" t="s">
        <v>504</v>
      </c>
      <c r="B17" s="1" t="s">
        <v>539</v>
      </c>
      <c r="C17" s="1" t="s">
        <v>540</v>
      </c>
      <c r="D17" s="1">
        <v>1.2</v>
      </c>
      <c r="E17" s="1" t="s">
        <v>288</v>
      </c>
      <c r="F17" s="15">
        <v>1299.0</v>
      </c>
      <c r="G17" s="15">
        <f t="shared" si="0"/>
        <v>1082.5</v>
      </c>
      <c r="H17" s="16">
        <f t="shared" si="1"/>
        <v>0.539030023094689</v>
      </c>
      <c r="I17" s="15">
        <v>499.0</v>
      </c>
      <c r="J17" s="15">
        <v>489.0</v>
      </c>
    </row>
    <row r="18" ht="17.0">
      <c r="A18" s="1" t="s">
        <v>504</v>
      </c>
      <c r="B18" s="1" t="s">
        <v>541</v>
      </c>
      <c r="C18" s="1" t="s">
        <v>542</v>
      </c>
      <c r="D18" s="1">
        <v>1.2</v>
      </c>
      <c r="E18" s="1" t="s">
        <v>288</v>
      </c>
      <c r="F18" s="15">
        <v>729.0</v>
      </c>
      <c r="G18" s="15">
        <f t="shared" si="0"/>
        <v>607.5</v>
      </c>
      <c r="H18" s="16">
        <f t="shared" si="1"/>
        <v>0.178600823045268</v>
      </c>
      <c r="I18" s="15">
        <v>499.0</v>
      </c>
      <c r="J18" s="15">
        <v>489.0</v>
      </c>
    </row>
    <row r="19" ht="17.0">
      <c r="A19" s="1" t="s">
        <v>504</v>
      </c>
      <c r="B19" s="1" t="s">
        <v>543</v>
      </c>
      <c r="C19" s="1" t="s">
        <v>544</v>
      </c>
      <c r="D19" s="1">
        <v>1.2</v>
      </c>
      <c r="E19" s="1" t="s">
        <v>288</v>
      </c>
      <c r="F19" s="15">
        <v>729.0</v>
      </c>
      <c r="G19" s="15">
        <f t="shared" si="0"/>
        <v>607.5</v>
      </c>
      <c r="H19" s="16">
        <f t="shared" si="1"/>
        <v>0.178600823045268</v>
      </c>
      <c r="I19" s="15">
        <v>499.0</v>
      </c>
      <c r="J19" s="15">
        <v>249.0</v>
      </c>
      <c r="K19" s="11" t="s">
        <v>524</v>
      </c>
    </row>
    <row r="20" ht="17.0">
      <c r="A20" s="1" t="s">
        <v>504</v>
      </c>
      <c r="B20" s="1" t="s">
        <v>545</v>
      </c>
      <c r="C20" s="1" t="s">
        <v>546</v>
      </c>
      <c r="D20" s="1">
        <v>1.0</v>
      </c>
      <c r="E20" s="1" t="s">
        <v>547</v>
      </c>
      <c r="F20" s="15">
        <v>319.0</v>
      </c>
      <c r="G20" s="15">
        <f t="shared" si="0"/>
        <v>319.0</v>
      </c>
      <c r="H20" s="16">
        <f t="shared" si="1"/>
        <v>0.25</v>
      </c>
      <c r="I20" s="15">
        <v>239.25</v>
      </c>
    </row>
    <row r="21" ht="17.0">
      <c r="A21" s="1" t="s">
        <v>504</v>
      </c>
      <c r="B21" s="1" t="s">
        <v>548</v>
      </c>
      <c r="C21" s="1" t="s">
        <v>549</v>
      </c>
      <c r="D21" s="1">
        <v>1.0</v>
      </c>
      <c r="E21" s="1" t="s">
        <v>547</v>
      </c>
      <c r="F21" s="15">
        <v>372.0</v>
      </c>
      <c r="G21" s="15">
        <f t="shared" si="0"/>
        <v>372.0</v>
      </c>
      <c r="H21" s="16">
        <f t="shared" si="1"/>
        <v>0.25</v>
      </c>
      <c r="I21" s="15">
        <v>279.0</v>
      </c>
    </row>
    <row r="22" ht="17.0">
      <c r="A22" s="1" t="s">
        <v>504</v>
      </c>
      <c r="B22" s="1" t="s">
        <v>550</v>
      </c>
      <c r="C22" s="1" t="s">
        <v>551</v>
      </c>
      <c r="D22" s="1">
        <v>1.0</v>
      </c>
      <c r="E22" s="1" t="s">
        <v>547</v>
      </c>
      <c r="F22" s="15">
        <v>1059.0</v>
      </c>
      <c r="G22" s="15">
        <f t="shared" si="0"/>
        <v>1059.0</v>
      </c>
      <c r="H22" s="16">
        <f t="shared" si="1"/>
        <v>0.25</v>
      </c>
      <c r="I22" s="15">
        <v>794.25</v>
      </c>
    </row>
    <row r="23" ht="17.0">
      <c r="A23" s="1" t="s">
        <v>504</v>
      </c>
      <c r="B23" s="1" t="s">
        <v>552</v>
      </c>
      <c r="C23" s="1" t="s">
        <v>553</v>
      </c>
      <c r="D23" s="1">
        <v>1.0</v>
      </c>
      <c r="E23" s="1" t="s">
        <v>547</v>
      </c>
      <c r="F23" s="15">
        <v>1059.0</v>
      </c>
      <c r="G23" s="15">
        <f t="shared" si="0"/>
        <v>1059.0</v>
      </c>
      <c r="H23" s="16">
        <f t="shared" si="1"/>
        <v>0.25</v>
      </c>
      <c r="I23" s="15">
        <v>794.25</v>
      </c>
    </row>
    <row r="24" ht="17.0">
      <c r="A24" s="1" t="s">
        <v>504</v>
      </c>
      <c r="B24" s="1" t="s">
        <v>554</v>
      </c>
      <c r="C24" s="1" t="s">
        <v>555</v>
      </c>
      <c r="D24" s="1">
        <v>1.0</v>
      </c>
      <c r="E24" s="1" t="s">
        <v>547</v>
      </c>
      <c r="F24" s="15">
        <v>1059.0</v>
      </c>
      <c r="G24" s="15">
        <f t="shared" si="0"/>
        <v>1059.0</v>
      </c>
      <c r="H24" s="16">
        <f t="shared" si="1"/>
        <v>0.25</v>
      </c>
      <c r="I24" s="15">
        <v>794.25</v>
      </c>
    </row>
    <row r="25" ht="17.0">
      <c r="A25" s="1" t="s">
        <v>504</v>
      </c>
      <c r="B25" s="1" t="s">
        <v>556</v>
      </c>
      <c r="C25" s="1" t="s">
        <v>557</v>
      </c>
      <c r="D25" s="1">
        <v>1.0</v>
      </c>
      <c r="E25" s="1" t="s">
        <v>547</v>
      </c>
      <c r="F25" s="15">
        <v>1059.0</v>
      </c>
      <c r="G25" s="15">
        <f t="shared" si="0"/>
        <v>1059.0</v>
      </c>
      <c r="H25" s="16">
        <f t="shared" si="1"/>
        <v>0.25</v>
      </c>
      <c r="I25" s="15">
        <v>794.25</v>
      </c>
    </row>
    <row r="26" ht="17.0">
      <c r="A26" s="1" t="s">
        <v>504</v>
      </c>
      <c r="B26" s="1" t="s">
        <v>558</v>
      </c>
      <c r="C26" s="1" t="s">
        <v>559</v>
      </c>
      <c r="D26" s="1">
        <v>1.0</v>
      </c>
      <c r="E26" s="1" t="s">
        <v>547</v>
      </c>
      <c r="F26" s="15">
        <v>1059.0</v>
      </c>
      <c r="G26" s="15">
        <f t="shared" si="0"/>
        <v>1059.0</v>
      </c>
      <c r="H26" s="16">
        <f t="shared" si="1"/>
        <v>0.25</v>
      </c>
      <c r="I26" s="15">
        <v>794.25</v>
      </c>
    </row>
    <row r="27" ht="17.0">
      <c r="A27" s="1" t="s">
        <v>504</v>
      </c>
      <c r="B27" s="1" t="s">
        <v>560</v>
      </c>
      <c r="C27" s="1" t="s">
        <v>561</v>
      </c>
      <c r="D27" s="1">
        <v>1.0</v>
      </c>
      <c r="E27" s="1" t="s">
        <v>547</v>
      </c>
      <c r="F27" s="15">
        <v>1059.0</v>
      </c>
      <c r="G27" s="15">
        <f t="shared" si="0"/>
        <v>1059.0</v>
      </c>
      <c r="H27" s="16">
        <f t="shared" si="1"/>
        <v>0.25</v>
      </c>
      <c r="I27" s="15">
        <v>794.25</v>
      </c>
    </row>
    <row r="28" ht="17.0">
      <c r="A28" s="1" t="s">
        <v>504</v>
      </c>
      <c r="B28" s="1" t="s">
        <v>562</v>
      </c>
      <c r="C28" s="1" t="s">
        <v>563</v>
      </c>
      <c r="D28" s="1">
        <v>0.9</v>
      </c>
      <c r="E28" s="1" t="s">
        <v>253</v>
      </c>
      <c r="F28" s="15">
        <v>309.0</v>
      </c>
      <c r="G28" s="15">
        <f t="shared" si="0"/>
        <v>343.333333333333</v>
      </c>
      <c r="H28" s="16">
        <f t="shared" si="1"/>
        <v>0.129126213592231</v>
      </c>
      <c r="I28" s="15">
        <v>299.0</v>
      </c>
    </row>
    <row r="29" ht="17.0">
      <c r="A29" s="1" t="s">
        <v>504</v>
      </c>
      <c r="B29" s="1" t="s">
        <v>564</v>
      </c>
      <c r="C29" s="1" t="s">
        <v>565</v>
      </c>
      <c r="D29" s="1">
        <v>0.9</v>
      </c>
      <c r="E29" s="1" t="s">
        <v>253</v>
      </c>
      <c r="F29" s="15">
        <v>309.0</v>
      </c>
      <c r="G29" s="15">
        <f t="shared" si="0"/>
        <v>343.333333333333</v>
      </c>
      <c r="H29" s="16">
        <f t="shared" si="1"/>
        <v>0.129126213592231</v>
      </c>
      <c r="I29" s="15">
        <v>299.0</v>
      </c>
    </row>
    <row r="30" ht="17.0">
      <c r="A30" s="1" t="s">
        <v>504</v>
      </c>
      <c r="B30" s="1" t="s">
        <v>566</v>
      </c>
      <c r="C30" s="1" t="s">
        <v>567</v>
      </c>
      <c r="D30" s="1">
        <v>0.9</v>
      </c>
      <c r="E30" s="1" t="s">
        <v>253</v>
      </c>
      <c r="F30" s="15">
        <v>309.0</v>
      </c>
      <c r="G30" s="15">
        <f t="shared" si="0"/>
        <v>343.333333333333</v>
      </c>
      <c r="H30" s="16">
        <f t="shared" si="1"/>
        <v>0.129126213592231</v>
      </c>
      <c r="I30" s="15">
        <v>299.0</v>
      </c>
    </row>
    <row r="31" ht="17.0">
      <c r="A31" s="1" t="s">
        <v>504</v>
      </c>
      <c r="B31" s="1" t="s">
        <v>568</v>
      </c>
      <c r="C31" s="1" t="s">
        <v>569</v>
      </c>
      <c r="D31" s="1">
        <v>0.9</v>
      </c>
      <c r="E31" s="1" t="s">
        <v>253</v>
      </c>
      <c r="F31" s="15">
        <v>309.0</v>
      </c>
      <c r="G31" s="15">
        <f t="shared" si="0"/>
        <v>343.333333333333</v>
      </c>
      <c r="H31" s="16">
        <f t="shared" si="1"/>
        <v>0.129126213592231</v>
      </c>
      <c r="I31" s="15">
        <v>299.0</v>
      </c>
    </row>
    <row r="32" ht="17.0">
      <c r="A32" s="1" t="s">
        <v>504</v>
      </c>
      <c r="B32" s="1" t="s">
        <v>570</v>
      </c>
      <c r="C32" s="1" t="s">
        <v>571</v>
      </c>
      <c r="D32" s="1">
        <v>0.9</v>
      </c>
      <c r="E32" s="1" t="s">
        <v>253</v>
      </c>
      <c r="F32" s="15">
        <v>309.0</v>
      </c>
      <c r="G32" s="15">
        <f t="shared" si="0"/>
        <v>343.333333333333</v>
      </c>
      <c r="H32" s="16">
        <f t="shared" si="1"/>
        <v>0.129126213592231</v>
      </c>
      <c r="I32" s="15">
        <v>299.0</v>
      </c>
    </row>
    <row r="33" ht="17.0">
      <c r="A33" s="1" t="s">
        <v>504</v>
      </c>
      <c r="B33" s="1" t="s">
        <v>572</v>
      </c>
      <c r="C33" s="1" t="s">
        <v>573</v>
      </c>
      <c r="D33" s="1">
        <v>1.0</v>
      </c>
      <c r="E33" s="1" t="s">
        <v>574</v>
      </c>
      <c r="F33" s="15">
        <v>238.8</v>
      </c>
      <c r="G33" s="15">
        <f t="shared" si="0"/>
        <v>238.8</v>
      </c>
      <c r="H33" s="16">
        <f t="shared" si="1"/>
        <v>0.124790619765493</v>
      </c>
      <c r="I33" s="15">
        <v>209.0</v>
      </c>
    </row>
    <row r="34" ht="17.0">
      <c r="A34" s="1" t="s">
        <v>504</v>
      </c>
      <c r="B34" s="1" t="s">
        <v>575</v>
      </c>
      <c r="C34" s="1" t="s">
        <v>576</v>
      </c>
      <c r="D34" s="1">
        <v>1.0</v>
      </c>
      <c r="E34" s="1" t="s">
        <v>574</v>
      </c>
      <c r="F34" s="15">
        <v>238.8</v>
      </c>
      <c r="G34" s="15">
        <f t="shared" si="0"/>
        <v>238.8</v>
      </c>
      <c r="H34" s="16">
        <f t="shared" si="1"/>
        <v>0.124790619765493</v>
      </c>
      <c r="I34" s="15">
        <v>209.0</v>
      </c>
    </row>
    <row r="35" ht="17.0">
      <c r="A35" s="1" t="s">
        <v>504</v>
      </c>
      <c r="B35" s="1" t="s">
        <v>577</v>
      </c>
      <c r="C35" s="1" t="s">
        <v>578</v>
      </c>
      <c r="D35" s="1">
        <v>1.44</v>
      </c>
      <c r="E35" s="1" t="s">
        <v>278</v>
      </c>
      <c r="F35" s="15">
        <v>599.0</v>
      </c>
      <c r="G35" s="15">
        <f t="shared" si="0"/>
        <v>415.972222222222</v>
      </c>
      <c r="H35" s="16">
        <f t="shared" si="1"/>
        <v>0.353322203672788</v>
      </c>
      <c r="I35" s="15">
        <v>269.0</v>
      </c>
      <c r="J35" s="15">
        <v>259.0</v>
      </c>
    </row>
    <row r="36" ht="17.0">
      <c r="A36" s="1" t="s">
        <v>504</v>
      </c>
      <c r="B36" s="1" t="s">
        <v>579</v>
      </c>
      <c r="C36" s="1" t="s">
        <v>580</v>
      </c>
      <c r="D36" s="1">
        <v>2.16</v>
      </c>
      <c r="E36" s="1" t="s">
        <v>278</v>
      </c>
      <c r="F36" s="15">
        <v>1019.0</v>
      </c>
      <c r="G36" s="15">
        <f t="shared" si="0"/>
        <v>471.759259259259</v>
      </c>
      <c r="H36" s="16">
        <f t="shared" si="1"/>
        <v>0.429793915603532</v>
      </c>
      <c r="I36" s="15">
        <v>269.0</v>
      </c>
      <c r="J36" s="15">
        <v>199.0</v>
      </c>
    </row>
    <row r="37" ht="17.0">
      <c r="A37" s="1" t="s">
        <v>504</v>
      </c>
      <c r="B37" s="1" t="s">
        <v>581</v>
      </c>
      <c r="C37" s="1" t="s">
        <v>582</v>
      </c>
      <c r="D37" s="1">
        <v>2.16</v>
      </c>
      <c r="E37" s="1" t="s">
        <v>278</v>
      </c>
      <c r="F37" s="15">
        <v>1019.0</v>
      </c>
      <c r="G37" s="15">
        <f t="shared" si="0"/>
        <v>471.759259259259</v>
      </c>
      <c r="H37" s="16">
        <f t="shared" si="1"/>
        <v>0.429793915603532</v>
      </c>
      <c r="I37" s="15">
        <v>269.0</v>
      </c>
      <c r="J37" s="15">
        <v>199.0</v>
      </c>
    </row>
    <row r="38" ht="17.0">
      <c r="A38" s="1" t="s">
        <v>504</v>
      </c>
      <c r="B38" s="1" t="s">
        <v>583</v>
      </c>
      <c r="C38" s="1" t="s">
        <v>584</v>
      </c>
      <c r="D38" s="1">
        <v>1.44</v>
      </c>
      <c r="E38" s="1" t="s">
        <v>278</v>
      </c>
      <c r="F38" s="15">
        <v>599.0</v>
      </c>
      <c r="G38" s="15">
        <f t="shared" si="0"/>
        <v>415.972222222222</v>
      </c>
      <c r="H38" s="16">
        <f t="shared" si="1"/>
        <v>0.353322203672788</v>
      </c>
      <c r="I38" s="15">
        <v>269.0</v>
      </c>
      <c r="J38" s="15">
        <v>259.0</v>
      </c>
    </row>
    <row r="39" ht="17.0">
      <c r="A39" s="1" t="s">
        <v>504</v>
      </c>
      <c r="B39" s="1" t="s">
        <v>585</v>
      </c>
      <c r="C39" s="1" t="s">
        <v>586</v>
      </c>
      <c r="D39" s="1">
        <v>2.16</v>
      </c>
      <c r="E39" s="1" t="s">
        <v>278</v>
      </c>
      <c r="F39" s="15">
        <v>1069.0</v>
      </c>
      <c r="G39" s="15">
        <f t="shared" si="0"/>
        <v>494.907407407407</v>
      </c>
      <c r="H39" s="16">
        <f t="shared" si="1"/>
        <v>0.43625818521983</v>
      </c>
      <c r="I39" s="15">
        <v>279.0</v>
      </c>
      <c r="J39" s="15">
        <v>269.0</v>
      </c>
    </row>
    <row r="40" ht="17.0">
      <c r="A40" s="1" t="s">
        <v>504</v>
      </c>
      <c r="B40" s="1" t="s">
        <v>587</v>
      </c>
      <c r="C40" s="1" t="s">
        <v>588</v>
      </c>
      <c r="D40" s="1">
        <v>2.88</v>
      </c>
      <c r="E40" s="1" t="s">
        <v>278</v>
      </c>
      <c r="F40" s="15">
        <v>1339.0</v>
      </c>
      <c r="G40" s="15">
        <f t="shared" si="0"/>
        <v>464.930555555556</v>
      </c>
      <c r="H40" s="16">
        <f t="shared" si="1"/>
        <v>0.356893203883496</v>
      </c>
      <c r="I40" s="15">
        <v>299.0</v>
      </c>
      <c r="J40" s="15">
        <v>289.0</v>
      </c>
    </row>
    <row r="41" ht="17.0">
      <c r="A41" s="1" t="s">
        <v>504</v>
      </c>
      <c r="B41" s="1" t="s">
        <v>589</v>
      </c>
      <c r="C41" s="1" t="s">
        <v>590</v>
      </c>
      <c r="D41" s="1">
        <v>2.88</v>
      </c>
      <c r="E41" s="1" t="s">
        <v>278</v>
      </c>
      <c r="F41" s="15">
        <v>1339.0</v>
      </c>
      <c r="G41" s="15">
        <f t="shared" si="0"/>
        <v>464.930555555556</v>
      </c>
      <c r="H41" s="16">
        <f t="shared" si="1"/>
        <v>0.356893203883496</v>
      </c>
      <c r="I41" s="15">
        <v>299.0</v>
      </c>
      <c r="J41" s="15">
        <v>289.0</v>
      </c>
    </row>
    <row r="42" ht="17.0">
      <c r="A42" s="1" t="s">
        <v>504</v>
      </c>
      <c r="B42" s="1" t="s">
        <v>591</v>
      </c>
      <c r="C42" s="1" t="s">
        <v>592</v>
      </c>
      <c r="D42" s="1">
        <v>2.88</v>
      </c>
      <c r="E42" s="1" t="s">
        <v>278</v>
      </c>
      <c r="F42" s="15">
        <v>1339.0</v>
      </c>
      <c r="G42" s="15">
        <f t="shared" si="0"/>
        <v>464.930555555556</v>
      </c>
      <c r="H42" s="16">
        <f t="shared" si="1"/>
        <v>0.356893203883496</v>
      </c>
      <c r="I42" s="15">
        <v>299.0</v>
      </c>
      <c r="J42" s="15">
        <v>289.0</v>
      </c>
    </row>
    <row r="43" ht="17.0">
      <c r="A43" s="1" t="s">
        <v>504</v>
      </c>
      <c r="B43" s="1" t="s">
        <v>593</v>
      </c>
      <c r="C43" s="1" t="s">
        <v>594</v>
      </c>
      <c r="D43" s="1">
        <v>2.88</v>
      </c>
      <c r="E43" s="1" t="s">
        <v>278</v>
      </c>
      <c r="F43" s="15">
        <v>1339.0</v>
      </c>
      <c r="G43" s="15">
        <f t="shared" si="0"/>
        <v>464.930555555556</v>
      </c>
      <c r="H43" s="16">
        <f t="shared" si="1"/>
        <v>0.356893203883496</v>
      </c>
      <c r="I43" s="15">
        <v>299.0</v>
      </c>
      <c r="J43" s="15">
        <v>289.0</v>
      </c>
    </row>
    <row r="44" ht="17.0">
      <c r="A44" s="1" t="s">
        <v>504</v>
      </c>
      <c r="B44" s="1" t="s">
        <v>595</v>
      </c>
      <c r="C44" s="1" t="s">
        <v>596</v>
      </c>
      <c r="D44" s="1">
        <v>2.88</v>
      </c>
      <c r="E44" s="1" t="s">
        <v>278</v>
      </c>
      <c r="F44" s="15">
        <v>1339.0</v>
      </c>
      <c r="G44" s="15">
        <f t="shared" si="0"/>
        <v>464.930555555556</v>
      </c>
      <c r="H44" s="16">
        <f t="shared" si="1"/>
        <v>0.356893203883496</v>
      </c>
      <c r="I44" s="15">
        <v>299.0</v>
      </c>
      <c r="J44" s="15">
        <v>289.0</v>
      </c>
    </row>
    <row r="45" ht="17.0">
      <c r="A45" s="1" t="s">
        <v>504</v>
      </c>
      <c r="B45" s="1" t="s">
        <v>597</v>
      </c>
      <c r="C45" s="1" t="s">
        <v>598</v>
      </c>
      <c r="D45" s="1">
        <v>2.88</v>
      </c>
      <c r="E45" s="1" t="s">
        <v>278</v>
      </c>
      <c r="F45" s="15">
        <v>1339.0</v>
      </c>
      <c r="G45" s="15">
        <f t="shared" si="0"/>
        <v>464.930555555556</v>
      </c>
      <c r="H45" s="16">
        <f t="shared" si="1"/>
        <v>0.356893203883496</v>
      </c>
      <c r="I45" s="15">
        <v>299.0</v>
      </c>
      <c r="J45" s="15">
        <v>279.0</v>
      </c>
    </row>
    <row r="46" ht="17.0">
      <c r="A46" s="1" t="s">
        <v>504</v>
      </c>
      <c r="B46" s="1" t="s">
        <v>599</v>
      </c>
      <c r="C46" s="1" t="s">
        <v>600</v>
      </c>
      <c r="D46" s="1">
        <v>2.88</v>
      </c>
      <c r="E46" s="1" t="s">
        <v>278</v>
      </c>
      <c r="F46" s="15">
        <v>1339.0</v>
      </c>
      <c r="G46" s="15">
        <f t="shared" si="0"/>
        <v>464.930555555556</v>
      </c>
      <c r="H46" s="16">
        <f t="shared" si="1"/>
        <v>0.356893203883496</v>
      </c>
      <c r="I46" s="15">
        <v>299.0</v>
      </c>
      <c r="J46" s="15">
        <v>279.0</v>
      </c>
    </row>
    <row r="47" ht="17.0">
      <c r="A47" s="1" t="s">
        <v>504</v>
      </c>
      <c r="B47" s="1" t="s">
        <v>601</v>
      </c>
      <c r="C47" s="1" t="s">
        <v>602</v>
      </c>
      <c r="D47" s="1">
        <v>2.16</v>
      </c>
      <c r="E47" s="1" t="s">
        <v>278</v>
      </c>
      <c r="F47" s="15">
        <v>1019.0</v>
      </c>
      <c r="G47" s="15">
        <f t="shared" si="0"/>
        <v>471.759259259259</v>
      </c>
      <c r="H47" s="16">
        <f t="shared" si="1"/>
        <v>0.366202158979391</v>
      </c>
      <c r="I47" s="15">
        <v>299.0</v>
      </c>
      <c r="J47" s="15">
        <v>289.0</v>
      </c>
    </row>
    <row r="48" ht="17.0">
      <c r="A48" s="1" t="s">
        <v>504</v>
      </c>
      <c r="B48" s="1" t="s">
        <v>603</v>
      </c>
      <c r="C48" s="1" t="s">
        <v>604</v>
      </c>
      <c r="D48" s="1">
        <v>2.16</v>
      </c>
      <c r="E48" s="1" t="s">
        <v>278</v>
      </c>
      <c r="F48" s="15">
        <v>1019.0</v>
      </c>
      <c r="G48" s="15">
        <f t="shared" si="0"/>
        <v>471.759259259259</v>
      </c>
      <c r="H48" s="16">
        <f t="shared" si="1"/>
        <v>0.366202158979391</v>
      </c>
      <c r="I48" s="15">
        <v>299.0</v>
      </c>
      <c r="J48" s="15">
        <v>289.0</v>
      </c>
    </row>
    <row r="49" ht="17.0">
      <c r="A49" s="1" t="s">
        <v>504</v>
      </c>
      <c r="B49" s="1" t="s">
        <v>605</v>
      </c>
      <c r="C49" s="1" t="s">
        <v>606</v>
      </c>
      <c r="D49" s="1">
        <v>2.16</v>
      </c>
      <c r="E49" s="1" t="s">
        <v>278</v>
      </c>
      <c r="F49" s="15">
        <v>1019.0</v>
      </c>
      <c r="G49" s="15">
        <f t="shared" si="0"/>
        <v>471.759259259259</v>
      </c>
      <c r="H49" s="16">
        <f t="shared" si="1"/>
        <v>0.366202158979391</v>
      </c>
      <c r="I49" s="15">
        <v>299.0</v>
      </c>
      <c r="J49" s="15">
        <v>289.0</v>
      </c>
    </row>
    <row r="50" ht="17.0">
      <c r="A50" s="1" t="s">
        <v>504</v>
      </c>
      <c r="B50" s="1" t="s">
        <v>607</v>
      </c>
      <c r="C50" s="1" t="s">
        <v>608</v>
      </c>
      <c r="D50" s="1">
        <v>2.88</v>
      </c>
      <c r="E50" s="1" t="s">
        <v>278</v>
      </c>
      <c r="F50" s="15">
        <v>1339.0</v>
      </c>
      <c r="G50" s="15">
        <f t="shared" si="0"/>
        <v>464.930555555556</v>
      </c>
      <c r="H50" s="16">
        <f t="shared" si="1"/>
        <v>0.356893203883496</v>
      </c>
      <c r="I50" s="15">
        <v>299.0</v>
      </c>
      <c r="J50" s="15">
        <v>289.0</v>
      </c>
    </row>
    <row r="51" ht="17.0">
      <c r="A51" s="1" t="s">
        <v>504</v>
      </c>
      <c r="B51" s="1" t="s">
        <v>609</v>
      </c>
      <c r="C51" s="1" t="s">
        <v>610</v>
      </c>
      <c r="D51" s="1">
        <v>2.88</v>
      </c>
      <c r="E51" s="1" t="s">
        <v>278</v>
      </c>
      <c r="F51" s="15">
        <v>1099.0</v>
      </c>
      <c r="G51" s="15">
        <f t="shared" si="0"/>
        <v>381.597222222222</v>
      </c>
      <c r="H51" s="16">
        <f t="shared" si="1"/>
        <v>0.164040036396724</v>
      </c>
      <c r="I51" s="15">
        <v>319.0</v>
      </c>
      <c r="J51" s="15">
        <v>309.0</v>
      </c>
    </row>
    <row r="52" ht="17.0">
      <c r="A52" s="1" t="s">
        <v>504</v>
      </c>
      <c r="B52" s="1" t="s">
        <v>611</v>
      </c>
      <c r="C52" s="1" t="s">
        <v>612</v>
      </c>
      <c r="D52" s="1">
        <v>2.16</v>
      </c>
      <c r="E52" s="1" t="s">
        <v>278</v>
      </c>
      <c r="F52" s="15">
        <v>999.0</v>
      </c>
      <c r="G52" s="15">
        <f t="shared" si="0"/>
        <v>462.5</v>
      </c>
      <c r="H52" s="16">
        <f t="shared" si="1"/>
        <v>0.245405405405406</v>
      </c>
      <c r="I52" s="15">
        <v>349.0</v>
      </c>
      <c r="J52" s="15">
        <v>339.0</v>
      </c>
    </row>
    <row r="53" ht="17.0">
      <c r="A53" s="1" t="s">
        <v>504</v>
      </c>
      <c r="B53" s="1" t="s">
        <v>613</v>
      </c>
      <c r="C53" s="1" t="s">
        <v>614</v>
      </c>
      <c r="D53" s="1">
        <v>2.16</v>
      </c>
      <c r="E53" s="1" t="s">
        <v>278</v>
      </c>
      <c r="F53" s="15">
        <v>999.0</v>
      </c>
      <c r="G53" s="15">
        <f t="shared" si="0"/>
        <v>462.5</v>
      </c>
      <c r="H53" s="16">
        <f t="shared" si="1"/>
        <v>0.245405405405406</v>
      </c>
      <c r="I53" s="15">
        <v>349.0</v>
      </c>
      <c r="J53" s="15">
        <v>339.0</v>
      </c>
    </row>
    <row r="54" ht="17.0">
      <c r="A54" s="1" t="s">
        <v>504</v>
      </c>
      <c r="B54" s="1" t="s">
        <v>615</v>
      </c>
      <c r="C54" s="1" t="s">
        <v>616</v>
      </c>
      <c r="D54" s="1">
        <v>2.16</v>
      </c>
      <c r="E54" s="1" t="s">
        <v>278</v>
      </c>
      <c r="F54" s="15">
        <v>1069.0</v>
      </c>
      <c r="G54" s="15">
        <f t="shared" si="0"/>
        <v>494.907407407407</v>
      </c>
      <c r="H54" s="16">
        <f t="shared" si="1"/>
        <v>0.254405986903648</v>
      </c>
      <c r="I54" s="15">
        <v>369.0</v>
      </c>
      <c r="J54" s="15">
        <v>359.0</v>
      </c>
    </row>
    <row r="55" ht="17.0">
      <c r="A55" s="1" t="s">
        <v>504</v>
      </c>
      <c r="B55" s="1" t="s">
        <v>617</v>
      </c>
      <c r="C55" s="1" t="s">
        <v>618</v>
      </c>
      <c r="D55" s="1">
        <v>1.44</v>
      </c>
      <c r="E55" s="1" t="s">
        <v>278</v>
      </c>
      <c r="F55" s="15">
        <v>699.0</v>
      </c>
      <c r="G55" s="15">
        <f t="shared" si="0"/>
        <v>485.416666666667</v>
      </c>
      <c r="H55" s="16">
        <f t="shared" si="1"/>
        <v>0.239828326180257</v>
      </c>
      <c r="I55" s="15">
        <v>369.0</v>
      </c>
      <c r="J55" s="15">
        <v>359.0</v>
      </c>
    </row>
    <row r="56" ht="17.0">
      <c r="A56" s="1" t="s">
        <v>504</v>
      </c>
      <c r="B56" s="1" t="s">
        <v>619</v>
      </c>
      <c r="C56" s="1" t="s">
        <v>620</v>
      </c>
      <c r="D56" s="1">
        <v>1.44</v>
      </c>
      <c r="E56" s="1" t="s">
        <v>278</v>
      </c>
      <c r="F56" s="15">
        <v>709.0</v>
      </c>
      <c r="G56" s="15">
        <f t="shared" si="0"/>
        <v>492.361111111111</v>
      </c>
      <c r="H56" s="16">
        <f t="shared" si="1"/>
        <v>0.25055007052186</v>
      </c>
      <c r="I56" s="15">
        <v>369.0</v>
      </c>
      <c r="J56" s="15">
        <v>359.0</v>
      </c>
    </row>
    <row r="57" ht="17.0">
      <c r="A57" s="1" t="s">
        <v>504</v>
      </c>
      <c r="B57" s="1" t="s">
        <v>621</v>
      </c>
      <c r="C57" s="1" t="s">
        <v>622</v>
      </c>
      <c r="D57" s="1">
        <v>1.44</v>
      </c>
      <c r="E57" s="1" t="s">
        <v>278</v>
      </c>
      <c r="F57" s="15">
        <v>709.0</v>
      </c>
      <c r="G57" s="15">
        <f t="shared" si="0"/>
        <v>492.361111111111</v>
      </c>
      <c r="H57" s="16">
        <f t="shared" si="1"/>
        <v>0.25055007052186</v>
      </c>
      <c r="I57" s="15">
        <v>369.0</v>
      </c>
      <c r="J57" s="15">
        <v>319.0</v>
      </c>
    </row>
    <row r="58" ht="17.0">
      <c r="A58" s="1" t="s">
        <v>504</v>
      </c>
      <c r="B58" s="1" t="s">
        <v>623</v>
      </c>
      <c r="C58" s="1" t="s">
        <v>624</v>
      </c>
      <c r="D58" s="1">
        <v>1.44</v>
      </c>
      <c r="E58" s="1" t="s">
        <v>278</v>
      </c>
      <c r="F58" s="15">
        <v>709.0</v>
      </c>
      <c r="G58" s="15">
        <f t="shared" si="0"/>
        <v>492.361111111111</v>
      </c>
      <c r="H58" s="16">
        <f t="shared" si="1"/>
        <v>0.25055007052186</v>
      </c>
      <c r="I58" s="15">
        <v>369.0</v>
      </c>
      <c r="J58" s="15">
        <v>359.0</v>
      </c>
    </row>
    <row r="59" ht="17.0">
      <c r="A59" s="1" t="s">
        <v>504</v>
      </c>
      <c r="B59" s="1" t="s">
        <v>625</v>
      </c>
      <c r="C59" s="1" t="s">
        <v>626</v>
      </c>
      <c r="D59" s="1">
        <v>1.44</v>
      </c>
      <c r="E59" s="1" t="s">
        <v>278</v>
      </c>
      <c r="F59" s="15">
        <v>709.0</v>
      </c>
      <c r="G59" s="15">
        <f t="shared" si="0"/>
        <v>492.361111111111</v>
      </c>
      <c r="H59" s="16">
        <f t="shared" si="1"/>
        <v>0.25055007052186</v>
      </c>
      <c r="I59" s="15">
        <v>369.0</v>
      </c>
      <c r="J59" s="15">
        <v>359.0</v>
      </c>
    </row>
    <row r="60" ht="17.0">
      <c r="A60" s="1" t="s">
        <v>504</v>
      </c>
      <c r="B60" s="1" t="s">
        <v>627</v>
      </c>
      <c r="C60" s="1" t="s">
        <v>628</v>
      </c>
      <c r="D60" s="1">
        <v>1.44</v>
      </c>
      <c r="E60" s="1" t="s">
        <v>278</v>
      </c>
      <c r="F60" s="15">
        <v>709.0</v>
      </c>
      <c r="G60" s="15">
        <f t="shared" si="0"/>
        <v>492.361111111111</v>
      </c>
      <c r="H60" s="16">
        <f t="shared" si="1"/>
        <v>0.25055007052186</v>
      </c>
      <c r="I60" s="15">
        <v>369.0</v>
      </c>
      <c r="J60" s="15">
        <v>359.0</v>
      </c>
    </row>
    <row r="61" ht="17.0">
      <c r="A61" s="1" t="s">
        <v>504</v>
      </c>
      <c r="B61" s="1" t="s">
        <v>629</v>
      </c>
      <c r="C61" s="1" t="s">
        <v>630</v>
      </c>
      <c r="D61" s="1">
        <v>1.44</v>
      </c>
      <c r="E61" s="1" t="s">
        <v>278</v>
      </c>
      <c r="F61" s="15">
        <v>869.0</v>
      </c>
      <c r="G61" s="15">
        <f t="shared" si="0"/>
        <v>603.472222222222</v>
      </c>
      <c r="H61" s="16">
        <f t="shared" si="1"/>
        <v>0.388538550057538</v>
      </c>
      <c r="I61" s="15">
        <v>369.0</v>
      </c>
      <c r="J61" s="15">
        <v>349.0</v>
      </c>
    </row>
    <row r="62" ht="17.0">
      <c r="A62" s="1" t="s">
        <v>504</v>
      </c>
      <c r="B62" s="1" t="s">
        <v>631</v>
      </c>
      <c r="C62" s="1" t="s">
        <v>632</v>
      </c>
      <c r="D62" s="1">
        <v>1.44</v>
      </c>
      <c r="E62" s="1" t="s">
        <v>278</v>
      </c>
      <c r="F62" s="15">
        <v>699.0</v>
      </c>
      <c r="G62" s="15">
        <f t="shared" si="0"/>
        <v>485.416666666667</v>
      </c>
      <c r="H62" s="16">
        <f t="shared" si="1"/>
        <v>0.219227467811158</v>
      </c>
      <c r="I62" s="15">
        <v>379.0</v>
      </c>
      <c r="J62" s="15">
        <v>269.0</v>
      </c>
      <c r="K62" s="11" t="s">
        <v>524</v>
      </c>
    </row>
    <row r="63" ht="17.0">
      <c r="A63" s="1" t="s">
        <v>504</v>
      </c>
      <c r="B63" s="1" t="s">
        <v>633</v>
      </c>
      <c r="C63" s="1" t="s">
        <v>634</v>
      </c>
      <c r="D63" s="1">
        <v>1.44</v>
      </c>
      <c r="E63" s="1" t="s">
        <v>278</v>
      </c>
      <c r="F63" s="15">
        <v>709.0</v>
      </c>
      <c r="G63" s="15">
        <f t="shared" si="0"/>
        <v>492.361111111111</v>
      </c>
      <c r="H63" s="16">
        <f t="shared" si="1"/>
        <v>0.209929478138223</v>
      </c>
      <c r="I63" s="15">
        <v>389.0</v>
      </c>
      <c r="J63" s="15">
        <v>379.0</v>
      </c>
    </row>
    <row r="64" ht="17.0">
      <c r="A64" s="1" t="s">
        <v>504</v>
      </c>
      <c r="B64" s="1" t="s">
        <v>635</v>
      </c>
      <c r="C64" s="1" t="s">
        <v>636</v>
      </c>
      <c r="D64" s="1">
        <v>1.44</v>
      </c>
      <c r="E64" s="1" t="s">
        <v>278</v>
      </c>
      <c r="F64" s="15">
        <v>899.0</v>
      </c>
      <c r="G64" s="15">
        <f t="shared" si="0"/>
        <v>624.305555555556</v>
      </c>
      <c r="H64" s="16">
        <f t="shared" si="1"/>
        <v>0.37690767519466</v>
      </c>
      <c r="I64" s="15">
        <v>389.0</v>
      </c>
      <c r="J64" s="15">
        <v>379.0</v>
      </c>
    </row>
    <row r="65" ht="17.0">
      <c r="A65" s="1" t="s">
        <v>504</v>
      </c>
      <c r="B65" s="1" t="s">
        <v>637</v>
      </c>
      <c r="C65" s="1" t="s">
        <v>638</v>
      </c>
      <c r="D65" s="1">
        <v>2.16</v>
      </c>
      <c r="E65" s="1" t="s">
        <v>278</v>
      </c>
      <c r="F65" s="15">
        <v>1069.0</v>
      </c>
      <c r="G65" s="15">
        <f t="shared" si="0"/>
        <v>494.907407407407</v>
      </c>
      <c r="H65" s="16">
        <f t="shared" si="1"/>
        <v>0.19378858746492</v>
      </c>
      <c r="I65" s="15">
        <v>399.0</v>
      </c>
      <c r="J65" s="15">
        <v>389.0</v>
      </c>
    </row>
    <row r="66" ht="17.0">
      <c r="A66" s="1" t="s">
        <v>504</v>
      </c>
      <c r="B66" s="1" t="s">
        <v>639</v>
      </c>
      <c r="C66" s="1" t="s">
        <v>640</v>
      </c>
      <c r="D66" s="1">
        <v>1.44</v>
      </c>
      <c r="E66" s="1" t="s">
        <v>278</v>
      </c>
      <c r="F66" s="15">
        <v>699.0</v>
      </c>
      <c r="G66" s="15">
        <f t="shared" si="0"/>
        <v>485.416666666667</v>
      </c>
      <c r="H66" s="16">
        <f t="shared" si="1"/>
        <v>0.178025751072962</v>
      </c>
      <c r="I66" s="15">
        <v>399.0</v>
      </c>
      <c r="J66" s="15">
        <v>389.0</v>
      </c>
    </row>
    <row r="67" ht="17.0">
      <c r="A67" s="1" t="s">
        <v>504</v>
      </c>
      <c r="B67" s="1" t="s">
        <v>641</v>
      </c>
      <c r="C67" s="1" t="s">
        <v>642</v>
      </c>
      <c r="D67" s="1">
        <v>1.44</v>
      </c>
      <c r="E67" s="1" t="s">
        <v>278</v>
      </c>
      <c r="F67" s="15">
        <v>699.0</v>
      </c>
      <c r="G67" s="15">
        <f t="shared" si="0"/>
        <v>485.416666666667</v>
      </c>
      <c r="H67" s="16">
        <f t="shared" si="1"/>
        <v>0.178025751072962</v>
      </c>
      <c r="I67" s="15">
        <v>399.0</v>
      </c>
      <c r="J67" s="15">
        <v>389.0</v>
      </c>
    </row>
    <row r="68" ht="17.0">
      <c r="A68" s="1" t="s">
        <v>504</v>
      </c>
      <c r="B68" s="1" t="s">
        <v>643</v>
      </c>
      <c r="C68" s="1" t="s">
        <v>644</v>
      </c>
      <c r="D68" s="1">
        <v>1.44</v>
      </c>
      <c r="E68" s="1" t="s">
        <v>278</v>
      </c>
      <c r="F68" s="15">
        <v>699.0</v>
      </c>
      <c r="G68" s="15">
        <f t="shared" si="0"/>
        <v>485.416666666667</v>
      </c>
      <c r="H68" s="16">
        <f t="shared" si="1"/>
        <v>0.178025751072962</v>
      </c>
      <c r="I68" s="15">
        <v>399.0</v>
      </c>
      <c r="J68" s="15">
        <v>349.0</v>
      </c>
    </row>
    <row r="69" ht="17.0">
      <c r="A69" s="1" t="s">
        <v>504</v>
      </c>
      <c r="B69" s="1" t="s">
        <v>645</v>
      </c>
      <c r="C69" s="1" t="s">
        <v>646</v>
      </c>
      <c r="D69" s="1">
        <v>1.44</v>
      </c>
      <c r="E69" s="1" t="s">
        <v>278</v>
      </c>
      <c r="F69" s="15">
        <v>699.0</v>
      </c>
      <c r="G69" s="15">
        <f t="shared" si="0"/>
        <v>485.416666666667</v>
      </c>
      <c r="H69" s="16">
        <f t="shared" si="1"/>
        <v>0.178025751072962</v>
      </c>
      <c r="I69" s="15">
        <v>399.0</v>
      </c>
      <c r="J69" s="15">
        <v>389.0</v>
      </c>
    </row>
    <row r="70" ht="17.0">
      <c r="A70" s="1" t="s">
        <v>504</v>
      </c>
      <c r="B70" s="1" t="s">
        <v>647</v>
      </c>
      <c r="C70" s="1" t="s">
        <v>648</v>
      </c>
      <c r="D70" s="1">
        <v>1.44</v>
      </c>
      <c r="E70" s="1" t="s">
        <v>278</v>
      </c>
      <c r="F70" s="15">
        <v>709.0</v>
      </c>
      <c r="G70" s="15">
        <f t="shared" si="0"/>
        <v>492.361111111111</v>
      </c>
      <c r="H70" s="16">
        <f t="shared" si="1"/>
        <v>0.189619181946403</v>
      </c>
      <c r="I70" s="15">
        <v>399.0</v>
      </c>
      <c r="J70" s="15">
        <v>389.0</v>
      </c>
    </row>
    <row r="71" ht="17.0">
      <c r="A71" s="1" t="s">
        <v>504</v>
      </c>
      <c r="B71" s="1" t="s">
        <v>649</v>
      </c>
      <c r="C71" s="1" t="s">
        <v>650</v>
      </c>
      <c r="D71" s="1">
        <v>1.44</v>
      </c>
      <c r="E71" s="1" t="s">
        <v>278</v>
      </c>
      <c r="F71" s="15">
        <v>709.0</v>
      </c>
      <c r="G71" s="15">
        <f t="shared" si="0"/>
        <v>492.361111111111</v>
      </c>
      <c r="H71" s="16">
        <f t="shared" si="1"/>
        <v>0.189619181946403</v>
      </c>
      <c r="I71" s="15">
        <v>399.0</v>
      </c>
      <c r="J71" s="15">
        <v>389.0</v>
      </c>
    </row>
    <row r="72" ht="17.0">
      <c r="A72" s="1" t="s">
        <v>504</v>
      </c>
      <c r="B72" s="1" t="s">
        <v>651</v>
      </c>
      <c r="C72" s="1" t="s">
        <v>652</v>
      </c>
      <c r="D72" s="1">
        <v>1.44</v>
      </c>
      <c r="E72" s="1" t="s">
        <v>278</v>
      </c>
      <c r="F72" s="15">
        <v>709.0</v>
      </c>
      <c r="G72" s="15">
        <f t="shared" si="0"/>
        <v>492.361111111111</v>
      </c>
      <c r="H72" s="16">
        <f t="shared" si="1"/>
        <v>0.189619181946403</v>
      </c>
      <c r="I72" s="15">
        <v>399.0</v>
      </c>
      <c r="J72" s="15">
        <v>389.0</v>
      </c>
    </row>
    <row r="73" ht="17.0">
      <c r="A73" s="1" t="s">
        <v>504</v>
      </c>
      <c r="B73" s="1" t="s">
        <v>653</v>
      </c>
      <c r="C73" s="1" t="s">
        <v>654</v>
      </c>
      <c r="D73" s="1">
        <v>1.44</v>
      </c>
      <c r="E73" s="1" t="s">
        <v>278</v>
      </c>
      <c r="F73" s="15">
        <v>709.0</v>
      </c>
      <c r="G73" s="15">
        <f t="shared" si="0"/>
        <v>492.361111111111</v>
      </c>
      <c r="H73" s="16">
        <f t="shared" si="1"/>
        <v>0.189619181946403</v>
      </c>
      <c r="I73" s="15">
        <v>399.0</v>
      </c>
      <c r="J73" s="15">
        <v>389.0</v>
      </c>
    </row>
    <row r="74" ht="17.0">
      <c r="A74" s="1" t="s">
        <v>504</v>
      </c>
      <c r="B74" s="1" t="s">
        <v>655</v>
      </c>
      <c r="C74" s="1" t="s">
        <v>656</v>
      </c>
      <c r="D74" s="1">
        <v>1.44</v>
      </c>
      <c r="E74" s="1" t="s">
        <v>278</v>
      </c>
      <c r="F74" s="15">
        <v>709.0</v>
      </c>
      <c r="G74" s="15">
        <f t="shared" si="0"/>
        <v>492.361111111111</v>
      </c>
      <c r="H74" s="16">
        <f t="shared" si="1"/>
        <v>0.189619181946403</v>
      </c>
      <c r="I74" s="15">
        <v>399.0</v>
      </c>
      <c r="J74" s="15">
        <v>389.0</v>
      </c>
    </row>
    <row r="75" ht="17.0">
      <c r="A75" s="1" t="s">
        <v>504</v>
      </c>
      <c r="B75" s="1" t="s">
        <v>657</v>
      </c>
      <c r="C75" s="1" t="s">
        <v>658</v>
      </c>
      <c r="D75" s="1">
        <v>1.44</v>
      </c>
      <c r="E75" s="1" t="s">
        <v>278</v>
      </c>
      <c r="F75" s="15">
        <v>709.0</v>
      </c>
      <c r="G75" s="15">
        <f t="shared" si="0"/>
        <v>492.361111111111</v>
      </c>
      <c r="H75" s="16">
        <f t="shared" si="1"/>
        <v>0.169308885754584</v>
      </c>
      <c r="I75" s="15">
        <v>409.0</v>
      </c>
      <c r="J75" s="15">
        <v>399.0</v>
      </c>
    </row>
    <row r="76" ht="17.0">
      <c r="A76" s="1" t="s">
        <v>504</v>
      </c>
      <c r="B76" s="1" t="s">
        <v>659</v>
      </c>
      <c r="C76" s="1" t="s">
        <v>660</v>
      </c>
      <c r="D76" s="1">
        <v>1.44</v>
      </c>
      <c r="E76" s="1" t="s">
        <v>278</v>
      </c>
      <c r="F76" s="15">
        <v>709.0</v>
      </c>
      <c r="G76" s="15">
        <f t="shared" si="0"/>
        <v>492.361111111111</v>
      </c>
      <c r="H76" s="16">
        <f t="shared" si="1"/>
        <v>0.169308885754584</v>
      </c>
      <c r="I76" s="15">
        <v>409.0</v>
      </c>
      <c r="J76" s="15">
        <v>399.0</v>
      </c>
    </row>
    <row r="77" ht="17.0">
      <c r="A77" s="1" t="s">
        <v>504</v>
      </c>
      <c r="B77" s="1" t="s">
        <v>661</v>
      </c>
      <c r="C77" s="1" t="s">
        <v>662</v>
      </c>
      <c r="D77" s="1">
        <v>1.44</v>
      </c>
      <c r="E77" s="1" t="s">
        <v>278</v>
      </c>
      <c r="F77" s="15">
        <v>892.58</v>
      </c>
      <c r="G77" s="15">
        <f t="shared" si="0"/>
        <v>619.847222222222</v>
      </c>
      <c r="H77" s="16">
        <f t="shared" si="1"/>
        <v>0.307893970288376</v>
      </c>
      <c r="I77" s="15">
        <v>429.0</v>
      </c>
      <c r="J77" s="15">
        <v>419.0</v>
      </c>
    </row>
    <row r="78" ht="17.0">
      <c r="A78" s="1" t="s">
        <v>504</v>
      </c>
      <c r="B78" s="1" t="s">
        <v>663</v>
      </c>
      <c r="C78" s="1" t="s">
        <v>664</v>
      </c>
      <c r="D78" s="1">
        <v>1.44</v>
      </c>
      <c r="E78" s="1" t="s">
        <v>278</v>
      </c>
      <c r="F78" s="15">
        <v>726.98</v>
      </c>
      <c r="G78" s="15">
        <f t="shared" si="0"/>
        <v>504.847222222222</v>
      </c>
      <c r="H78" s="16">
        <f t="shared" si="1"/>
        <v>0.150237970783238</v>
      </c>
      <c r="I78" s="15">
        <v>429.0</v>
      </c>
      <c r="J78" s="15">
        <v>329.0</v>
      </c>
    </row>
    <row r="79" ht="17.0">
      <c r="A79" s="1" t="s">
        <v>504</v>
      </c>
      <c r="B79" s="1" t="s">
        <v>665</v>
      </c>
      <c r="C79" s="1" t="s">
        <v>666</v>
      </c>
      <c r="D79" s="1">
        <v>1.44</v>
      </c>
      <c r="E79" s="1" t="s">
        <v>278</v>
      </c>
      <c r="F79" s="15">
        <v>699.0</v>
      </c>
      <c r="G79" s="15">
        <f t="shared" si="0"/>
        <v>485.416666666667</v>
      </c>
      <c r="H79" s="16">
        <f t="shared" si="1"/>
        <v>0.116223175965666</v>
      </c>
      <c r="I79" s="15">
        <v>429.0</v>
      </c>
      <c r="J79" s="15">
        <v>319.0</v>
      </c>
    </row>
    <row r="80" ht="17.0">
      <c r="A80" s="1" t="s">
        <v>504</v>
      </c>
      <c r="B80" s="1" t="s">
        <v>667</v>
      </c>
      <c r="C80" s="1" t="s">
        <v>668</v>
      </c>
      <c r="D80" s="1">
        <v>1.44</v>
      </c>
      <c r="E80" s="1" t="s">
        <v>278</v>
      </c>
      <c r="F80" s="15">
        <v>739.0</v>
      </c>
      <c r="G80" s="15">
        <f t="shared" si="0"/>
        <v>513.194444444444</v>
      </c>
      <c r="H80" s="16">
        <f t="shared" si="1"/>
        <v>0.164059539918807</v>
      </c>
      <c r="I80" s="15">
        <v>429.0</v>
      </c>
      <c r="J80" s="15">
        <v>419.0</v>
      </c>
    </row>
    <row r="81" ht="17.0">
      <c r="A81" s="1" t="s">
        <v>504</v>
      </c>
      <c r="B81" s="1" t="s">
        <v>669</v>
      </c>
      <c r="C81" s="1" t="s">
        <v>670</v>
      </c>
      <c r="D81" s="1">
        <v>1.44</v>
      </c>
      <c r="E81" s="1" t="s">
        <v>278</v>
      </c>
      <c r="F81" s="15">
        <v>739.0</v>
      </c>
      <c r="G81" s="15">
        <f t="shared" si="0"/>
        <v>513.194444444444</v>
      </c>
      <c r="H81" s="16">
        <f t="shared" si="1"/>
        <v>0.164059539918807</v>
      </c>
      <c r="I81" s="15">
        <v>429.0</v>
      </c>
      <c r="J81" s="15">
        <v>419.0</v>
      </c>
    </row>
    <row r="82" ht="17.0">
      <c r="A82" s="1" t="s">
        <v>504</v>
      </c>
      <c r="B82" s="1" t="s">
        <v>671</v>
      </c>
      <c r="C82" s="1" t="s">
        <v>672</v>
      </c>
      <c r="D82" s="1">
        <v>1.44</v>
      </c>
      <c r="E82" s="1" t="s">
        <v>278</v>
      </c>
      <c r="F82" s="15">
        <v>739.0</v>
      </c>
      <c r="G82" s="15">
        <f t="shared" si="0"/>
        <v>513.194444444444</v>
      </c>
      <c r="H82" s="16">
        <f t="shared" si="1"/>
        <v>0.164059539918807</v>
      </c>
      <c r="I82" s="15">
        <v>429.0</v>
      </c>
      <c r="J82" s="15">
        <v>409.0</v>
      </c>
    </row>
    <row r="83" ht="17.0">
      <c r="A83" s="1" t="s">
        <v>504</v>
      </c>
      <c r="B83" s="1" t="s">
        <v>673</v>
      </c>
      <c r="C83" s="1" t="s">
        <v>674</v>
      </c>
      <c r="D83" s="1">
        <v>1.44</v>
      </c>
      <c r="E83" s="1" t="s">
        <v>278</v>
      </c>
      <c r="F83" s="15">
        <v>739.0</v>
      </c>
      <c r="G83" s="15">
        <f t="shared" si="0"/>
        <v>513.194444444444</v>
      </c>
      <c r="H83" s="16">
        <f t="shared" si="1"/>
        <v>0.164059539918807</v>
      </c>
      <c r="I83" s="15">
        <v>429.0</v>
      </c>
      <c r="J83" s="15">
        <v>409.0</v>
      </c>
    </row>
    <row r="84" ht="17.0">
      <c r="A84" s="1" t="s">
        <v>504</v>
      </c>
      <c r="B84" s="1" t="s">
        <v>675</v>
      </c>
      <c r="C84" s="1" t="s">
        <v>676</v>
      </c>
      <c r="D84" s="1">
        <v>1.44</v>
      </c>
      <c r="E84" s="1" t="s">
        <v>278</v>
      </c>
      <c r="F84" s="15">
        <v>1029.0</v>
      </c>
      <c r="G84" s="15">
        <f t="shared" si="0"/>
        <v>714.583333333333</v>
      </c>
      <c r="H84" s="16">
        <f t="shared" si="1"/>
        <v>0.399650145772593</v>
      </c>
      <c r="I84" s="15">
        <v>429.0</v>
      </c>
      <c r="J84" s="15">
        <v>419.0</v>
      </c>
    </row>
    <row r="85" ht="17.0">
      <c r="A85" s="1" t="s">
        <v>504</v>
      </c>
      <c r="B85" s="1" t="s">
        <v>677</v>
      </c>
      <c r="C85" s="1" t="s">
        <v>678</v>
      </c>
      <c r="D85" s="1">
        <v>1.44</v>
      </c>
      <c r="E85" s="1" t="s">
        <v>278</v>
      </c>
      <c r="F85" s="15">
        <v>726.98</v>
      </c>
      <c r="G85" s="15">
        <f t="shared" si="0"/>
        <v>504.847222222222</v>
      </c>
      <c r="H85" s="16">
        <f t="shared" si="1"/>
        <v>0.130429998074223</v>
      </c>
      <c r="I85" s="15">
        <v>439.0</v>
      </c>
      <c r="J85" s="15">
        <v>429.0</v>
      </c>
    </row>
    <row r="86" ht="17.0">
      <c r="A86" s="1" t="s">
        <v>504</v>
      </c>
      <c r="B86" s="1" t="s">
        <v>679</v>
      </c>
      <c r="C86" s="1" t="s">
        <v>680</v>
      </c>
      <c r="D86" s="1">
        <v>1.44</v>
      </c>
      <c r="E86" s="1" t="s">
        <v>278</v>
      </c>
      <c r="F86" s="15">
        <v>726.98</v>
      </c>
      <c r="G86" s="15">
        <f t="shared" si="0"/>
        <v>504.847222222222</v>
      </c>
      <c r="H86" s="16">
        <f t="shared" si="1"/>
        <v>0.130429998074223</v>
      </c>
      <c r="I86" s="15">
        <v>439.0</v>
      </c>
      <c r="J86" s="15">
        <v>429.0</v>
      </c>
    </row>
    <row r="87" ht="17.0">
      <c r="A87" s="1" t="s">
        <v>504</v>
      </c>
      <c r="B87" s="1" t="s">
        <v>681</v>
      </c>
      <c r="C87" s="1" t="s">
        <v>682</v>
      </c>
      <c r="D87" s="1">
        <v>1.44</v>
      </c>
      <c r="E87" s="1" t="s">
        <v>278</v>
      </c>
      <c r="F87" s="15">
        <v>726.98</v>
      </c>
      <c r="G87" s="15">
        <f t="shared" si="0"/>
        <v>504.847222222222</v>
      </c>
      <c r="H87" s="16">
        <f t="shared" si="1"/>
        <v>0.130429998074223</v>
      </c>
      <c r="I87" s="15">
        <v>439.0</v>
      </c>
      <c r="J87" s="15">
        <v>429.0</v>
      </c>
    </row>
    <row r="88" ht="17.0">
      <c r="A88" s="1" t="s">
        <v>504</v>
      </c>
      <c r="B88" s="1" t="s">
        <v>683</v>
      </c>
      <c r="C88" s="1" t="s">
        <v>684</v>
      </c>
      <c r="D88" s="1">
        <v>1.44</v>
      </c>
      <c r="E88" s="1" t="s">
        <v>278</v>
      </c>
      <c r="F88" s="15">
        <v>726.98</v>
      </c>
      <c r="G88" s="15">
        <f t="shared" si="0"/>
        <v>504.847222222222</v>
      </c>
      <c r="H88" s="16">
        <f t="shared" si="1"/>
        <v>0.348317697873393</v>
      </c>
      <c r="I88" s="15">
        <v>329.0</v>
      </c>
      <c r="J88" s="15">
        <v>299.0</v>
      </c>
      <c r="K88" s="11" t="s">
        <v>524</v>
      </c>
    </row>
    <row r="89" ht="17.0">
      <c r="A89" s="1" t="s">
        <v>504</v>
      </c>
      <c r="B89" s="1" t="s">
        <v>685</v>
      </c>
      <c r="C89" s="1" t="s">
        <v>686</v>
      </c>
      <c r="D89" s="1">
        <v>1.44</v>
      </c>
      <c r="E89" s="1" t="s">
        <v>278</v>
      </c>
      <c r="F89" s="15">
        <v>726.98</v>
      </c>
      <c r="G89" s="15">
        <f t="shared" si="0"/>
        <v>504.847222222222</v>
      </c>
      <c r="H89" s="16">
        <f t="shared" si="1"/>
        <v>0.130429998074223</v>
      </c>
      <c r="I89" s="15">
        <v>439.0</v>
      </c>
      <c r="J89" s="15">
        <v>299.0</v>
      </c>
      <c r="K89" s="11" t="s">
        <v>524</v>
      </c>
    </row>
    <row r="90" ht="17.0">
      <c r="A90" s="1" t="s">
        <v>504</v>
      </c>
      <c r="B90" s="1" t="s">
        <v>687</v>
      </c>
      <c r="C90" s="1" t="s">
        <v>688</v>
      </c>
      <c r="D90" s="1">
        <v>1.44</v>
      </c>
      <c r="E90" s="1" t="s">
        <v>278</v>
      </c>
      <c r="F90" s="15">
        <v>726.98</v>
      </c>
      <c r="G90" s="15">
        <f t="shared" si="0"/>
        <v>504.847222222222</v>
      </c>
      <c r="H90" s="16">
        <f t="shared" si="1"/>
        <v>0.130429998074223</v>
      </c>
      <c r="I90" s="15">
        <v>439.0</v>
      </c>
      <c r="J90" s="15">
        <v>359.0</v>
      </c>
    </row>
    <row r="91" ht="17.0">
      <c r="A91" s="1" t="s">
        <v>504</v>
      </c>
      <c r="B91" s="1" t="s">
        <v>689</v>
      </c>
      <c r="C91" s="1" t="s">
        <v>690</v>
      </c>
      <c r="D91" s="1">
        <v>1.44</v>
      </c>
      <c r="E91" s="1" t="s">
        <v>278</v>
      </c>
      <c r="F91" s="15">
        <v>726.98</v>
      </c>
      <c r="G91" s="15">
        <f t="shared" si="0"/>
        <v>504.847222222222</v>
      </c>
      <c r="H91" s="16">
        <f t="shared" si="1"/>
        <v>0.130429998074223</v>
      </c>
      <c r="I91" s="15">
        <v>439.0</v>
      </c>
      <c r="J91" s="15">
        <v>429.0</v>
      </c>
    </row>
    <row r="92" ht="17.0">
      <c r="A92" s="1" t="s">
        <v>504</v>
      </c>
      <c r="B92" s="1" t="s">
        <v>691</v>
      </c>
      <c r="C92" s="1" t="s">
        <v>692</v>
      </c>
      <c r="D92" s="1">
        <v>1.44</v>
      </c>
      <c r="E92" s="1" t="s">
        <v>278</v>
      </c>
      <c r="F92" s="15">
        <v>726.98</v>
      </c>
      <c r="G92" s="15">
        <f t="shared" si="0"/>
        <v>504.847222222222</v>
      </c>
      <c r="H92" s="16">
        <f t="shared" si="1"/>
        <v>0.130429998074223</v>
      </c>
      <c r="I92" s="15">
        <v>439.0</v>
      </c>
      <c r="J92" s="15">
        <v>359.0</v>
      </c>
    </row>
    <row r="93" ht="17.0">
      <c r="A93" s="1" t="s">
        <v>504</v>
      </c>
      <c r="B93" s="1" t="s">
        <v>693</v>
      </c>
      <c r="C93" s="1" t="s">
        <v>694</v>
      </c>
      <c r="D93" s="1">
        <v>1.44</v>
      </c>
      <c r="E93" s="1" t="s">
        <v>278</v>
      </c>
      <c r="F93" s="15">
        <v>726.98</v>
      </c>
      <c r="G93" s="15">
        <f t="shared" si="0"/>
        <v>504.847222222222</v>
      </c>
      <c r="H93" s="16">
        <f t="shared" si="1"/>
        <v>0.130429998074223</v>
      </c>
      <c r="I93" s="15">
        <v>439.0</v>
      </c>
      <c r="J93" s="15">
        <v>429.0</v>
      </c>
    </row>
    <row r="94" ht="17.0">
      <c r="A94" s="1" t="s">
        <v>504</v>
      </c>
      <c r="B94" s="1" t="s">
        <v>695</v>
      </c>
      <c r="C94" s="1" t="s">
        <v>696</v>
      </c>
      <c r="D94" s="1">
        <v>1.44</v>
      </c>
      <c r="E94" s="1" t="s">
        <v>278</v>
      </c>
      <c r="F94" s="15">
        <v>726.98</v>
      </c>
      <c r="G94" s="15">
        <f t="shared" si="0"/>
        <v>504.847222222222</v>
      </c>
      <c r="H94" s="16">
        <f t="shared" si="1"/>
        <v>0.130429998074223</v>
      </c>
      <c r="I94" s="15">
        <v>439.0</v>
      </c>
      <c r="J94" s="15">
        <v>429.0</v>
      </c>
    </row>
    <row r="95" ht="17.0">
      <c r="A95" s="1" t="s">
        <v>504</v>
      </c>
      <c r="B95" s="1" t="s">
        <v>697</v>
      </c>
      <c r="C95" s="1" t="s">
        <v>698</v>
      </c>
      <c r="D95" s="1">
        <v>1.44</v>
      </c>
      <c r="E95" s="1" t="s">
        <v>278</v>
      </c>
      <c r="F95" s="15">
        <v>726.98</v>
      </c>
      <c r="G95" s="15">
        <f t="shared" si="0"/>
        <v>504.847222222222</v>
      </c>
      <c r="H95" s="16">
        <f t="shared" si="1"/>
        <v>0.130429998074223</v>
      </c>
      <c r="I95" s="15">
        <v>439.0</v>
      </c>
      <c r="J95" s="15">
        <v>429.0</v>
      </c>
    </row>
    <row r="96" ht="17.0">
      <c r="A96" s="1" t="s">
        <v>504</v>
      </c>
      <c r="B96" s="1" t="s">
        <v>699</v>
      </c>
      <c r="C96" s="1" t="s">
        <v>700</v>
      </c>
      <c r="D96" s="1">
        <v>1.44</v>
      </c>
      <c r="E96" s="1" t="s">
        <v>278</v>
      </c>
      <c r="F96" s="15">
        <v>726.98</v>
      </c>
      <c r="G96" s="15">
        <f t="shared" si="0"/>
        <v>504.847222222222</v>
      </c>
      <c r="H96" s="16">
        <f t="shared" si="1"/>
        <v>0.130429998074223</v>
      </c>
      <c r="I96" s="15">
        <v>439.0</v>
      </c>
      <c r="J96" s="15">
        <v>429.0</v>
      </c>
    </row>
    <row r="97" ht="17.0">
      <c r="A97" s="1" t="s">
        <v>504</v>
      </c>
      <c r="B97" s="1" t="s">
        <v>701</v>
      </c>
      <c r="C97" s="1" t="s">
        <v>702</v>
      </c>
      <c r="D97" s="1">
        <v>1.44</v>
      </c>
      <c r="E97" s="1" t="s">
        <v>278</v>
      </c>
      <c r="F97" s="15">
        <v>726.98</v>
      </c>
      <c r="G97" s="15">
        <f t="shared" si="0"/>
        <v>504.847222222222</v>
      </c>
      <c r="H97" s="16">
        <f t="shared" si="1"/>
        <v>0.130429998074223</v>
      </c>
      <c r="I97" s="15">
        <v>439.0</v>
      </c>
      <c r="J97" s="15">
        <v>299.0</v>
      </c>
      <c r="K97" s="11" t="s">
        <v>524</v>
      </c>
    </row>
    <row r="98" ht="17.0">
      <c r="A98" s="1" t="s">
        <v>504</v>
      </c>
      <c r="B98" s="1" t="s">
        <v>703</v>
      </c>
      <c r="C98" s="1" t="s">
        <v>704</v>
      </c>
      <c r="D98" s="1">
        <v>1.44</v>
      </c>
      <c r="E98" s="1" t="s">
        <v>278</v>
      </c>
      <c r="F98" s="15">
        <v>726.98</v>
      </c>
      <c r="G98" s="15">
        <f t="shared" si="0"/>
        <v>504.847222222222</v>
      </c>
      <c r="H98" s="16">
        <f t="shared" si="1"/>
        <v>0.130429998074223</v>
      </c>
      <c r="I98" s="15">
        <v>439.0</v>
      </c>
      <c r="J98" s="15">
        <v>359.0</v>
      </c>
    </row>
    <row r="99" ht="17.0">
      <c r="A99" s="1" t="s">
        <v>504</v>
      </c>
      <c r="B99" s="1" t="s">
        <v>705</v>
      </c>
      <c r="C99" s="1" t="s">
        <v>706</v>
      </c>
      <c r="D99" s="1">
        <v>1.44</v>
      </c>
      <c r="E99" s="1" t="s">
        <v>278</v>
      </c>
      <c r="F99" s="15">
        <v>726.98</v>
      </c>
      <c r="G99" s="15">
        <f t="shared" si="0"/>
        <v>504.847222222222</v>
      </c>
      <c r="H99" s="16">
        <f t="shared" si="1"/>
        <v>0.130429998074223</v>
      </c>
      <c r="I99" s="15">
        <v>439.0</v>
      </c>
      <c r="J99" s="15">
        <v>429.0</v>
      </c>
    </row>
    <row r="100" ht="17.0">
      <c r="A100" s="1" t="s">
        <v>504</v>
      </c>
      <c r="B100" s="1" t="s">
        <v>707</v>
      </c>
      <c r="C100" s="1" t="s">
        <v>708</v>
      </c>
      <c r="D100" s="1">
        <v>1.44</v>
      </c>
      <c r="E100" s="1" t="s">
        <v>278</v>
      </c>
      <c r="F100" s="15">
        <v>726.98</v>
      </c>
      <c r="G100" s="15">
        <f t="shared" si="0"/>
        <v>504.847222222222</v>
      </c>
      <c r="H100" s="16">
        <f t="shared" si="1"/>
        <v>0.130429998074223</v>
      </c>
      <c r="I100" s="15">
        <v>439.0</v>
      </c>
      <c r="J100" s="15">
        <v>429.0</v>
      </c>
    </row>
    <row r="101" ht="17.0">
      <c r="A101" s="1" t="s">
        <v>504</v>
      </c>
      <c r="B101" s="1" t="s">
        <v>709</v>
      </c>
      <c r="C101" s="1" t="s">
        <v>710</v>
      </c>
      <c r="D101" s="1">
        <v>1.44</v>
      </c>
      <c r="E101" s="1" t="s">
        <v>278</v>
      </c>
      <c r="F101" s="15">
        <v>726.98</v>
      </c>
      <c r="G101" s="15">
        <f t="shared" si="0"/>
        <v>504.847222222222</v>
      </c>
      <c r="H101" s="16">
        <f t="shared" si="1"/>
        <v>0.130429998074223</v>
      </c>
      <c r="I101" s="15">
        <v>439.0</v>
      </c>
      <c r="J101" s="15">
        <v>299.0</v>
      </c>
      <c r="K101" s="11" t="s">
        <v>524</v>
      </c>
    </row>
    <row r="102" ht="17.0">
      <c r="A102" s="1" t="s">
        <v>504</v>
      </c>
      <c r="B102" s="1" t="s">
        <v>711</v>
      </c>
      <c r="C102" s="1" t="s">
        <v>712</v>
      </c>
      <c r="D102" s="1">
        <v>1.44</v>
      </c>
      <c r="E102" s="1" t="s">
        <v>278</v>
      </c>
      <c r="F102" s="15">
        <v>726.98</v>
      </c>
      <c r="G102" s="15">
        <f t="shared" si="0"/>
        <v>504.847222222222</v>
      </c>
      <c r="H102" s="16">
        <f t="shared" si="1"/>
        <v>0.130429998074223</v>
      </c>
      <c r="I102" s="15">
        <v>439.0</v>
      </c>
      <c r="J102" s="15">
        <v>359.0</v>
      </c>
    </row>
    <row r="103" ht="17.0">
      <c r="A103" s="1" t="s">
        <v>504</v>
      </c>
      <c r="B103" s="1" t="s">
        <v>713</v>
      </c>
      <c r="C103" s="1" t="s">
        <v>714</v>
      </c>
      <c r="D103" s="1">
        <v>1.44</v>
      </c>
      <c r="E103" s="1" t="s">
        <v>278</v>
      </c>
      <c r="F103" s="15">
        <v>726.98</v>
      </c>
      <c r="G103" s="15">
        <f t="shared" si="0"/>
        <v>504.847222222222</v>
      </c>
      <c r="H103" s="16">
        <f t="shared" si="1"/>
        <v>0.130429998074223</v>
      </c>
      <c r="I103" s="15">
        <v>439.0</v>
      </c>
      <c r="J103" s="15">
        <v>359.0</v>
      </c>
    </row>
    <row r="104" ht="17.0">
      <c r="A104" s="1" t="s">
        <v>504</v>
      </c>
      <c r="B104" s="1" t="s">
        <v>715</v>
      </c>
      <c r="C104" s="1" t="s">
        <v>716</v>
      </c>
      <c r="D104" s="1">
        <v>1.44</v>
      </c>
      <c r="E104" s="1" t="s">
        <v>278</v>
      </c>
      <c r="F104" s="15">
        <v>726.98</v>
      </c>
      <c r="G104" s="15">
        <f t="shared" si="0"/>
        <v>504.847222222222</v>
      </c>
      <c r="H104" s="16">
        <f t="shared" si="1"/>
        <v>0.130429998074223</v>
      </c>
      <c r="I104" s="15">
        <v>439.0</v>
      </c>
      <c r="J104" s="15">
        <v>359.0</v>
      </c>
    </row>
    <row r="105" ht="17.0">
      <c r="A105" s="1" t="s">
        <v>504</v>
      </c>
      <c r="B105" s="1" t="s">
        <v>717</v>
      </c>
      <c r="C105" s="1" t="s">
        <v>718</v>
      </c>
      <c r="D105" s="1">
        <v>1.44</v>
      </c>
      <c r="E105" s="1" t="s">
        <v>278</v>
      </c>
      <c r="F105" s="15">
        <v>726.98</v>
      </c>
      <c r="G105" s="15">
        <f t="shared" si="0"/>
        <v>504.847222222222</v>
      </c>
      <c r="H105" s="16">
        <f t="shared" si="1"/>
        <v>0.130429998074223</v>
      </c>
      <c r="I105" s="15">
        <v>439.0</v>
      </c>
      <c r="J105" s="15">
        <v>429.0</v>
      </c>
    </row>
    <row r="106" ht="17.0">
      <c r="A106" s="1" t="s">
        <v>504</v>
      </c>
      <c r="B106" s="1" t="s">
        <v>719</v>
      </c>
      <c r="C106" s="1" t="s">
        <v>720</v>
      </c>
      <c r="D106" s="1">
        <v>1.44</v>
      </c>
      <c r="E106" s="1" t="s">
        <v>278</v>
      </c>
      <c r="F106" s="15">
        <v>726.98</v>
      </c>
      <c r="G106" s="15">
        <f t="shared" si="0"/>
        <v>504.847222222222</v>
      </c>
      <c r="H106" s="16">
        <f t="shared" si="1"/>
        <v>0.130429998074223</v>
      </c>
      <c r="I106" s="15">
        <v>439.0</v>
      </c>
      <c r="J106" s="15">
        <v>429.0</v>
      </c>
    </row>
    <row r="107" ht="17.0">
      <c r="A107" s="1" t="s">
        <v>504</v>
      </c>
      <c r="B107" s="1" t="s">
        <v>721</v>
      </c>
      <c r="C107" s="1" t="s">
        <v>722</v>
      </c>
      <c r="D107" s="1">
        <v>1.44</v>
      </c>
      <c r="E107" s="1" t="s">
        <v>278</v>
      </c>
      <c r="F107" s="15">
        <v>726.98</v>
      </c>
      <c r="G107" s="15">
        <f t="shared" si="0"/>
        <v>504.847222222222</v>
      </c>
      <c r="H107" s="16">
        <f t="shared" si="1"/>
        <v>0.130429998074223</v>
      </c>
      <c r="I107" s="15">
        <v>439.0</v>
      </c>
      <c r="J107" s="15">
        <v>429.0</v>
      </c>
    </row>
    <row r="108" ht="17.0">
      <c r="A108" s="1" t="s">
        <v>504</v>
      </c>
      <c r="B108" s="1" t="s">
        <v>723</v>
      </c>
      <c r="C108" s="1" t="s">
        <v>724</v>
      </c>
      <c r="D108" s="1">
        <v>1.44</v>
      </c>
      <c r="E108" s="1" t="s">
        <v>278</v>
      </c>
      <c r="F108" s="15">
        <v>726.98</v>
      </c>
      <c r="G108" s="15">
        <f t="shared" si="0"/>
        <v>504.847222222222</v>
      </c>
      <c r="H108" s="16">
        <f t="shared" si="1"/>
        <v>0.130429998074223</v>
      </c>
      <c r="I108" s="15">
        <v>439.0</v>
      </c>
      <c r="J108" s="15">
        <v>429.0</v>
      </c>
    </row>
    <row r="109" ht="17.0">
      <c r="A109" s="1" t="s">
        <v>504</v>
      </c>
      <c r="B109" s="1" t="s">
        <v>725</v>
      </c>
      <c r="C109" s="1" t="s">
        <v>726</v>
      </c>
      <c r="D109" s="1">
        <v>1.44</v>
      </c>
      <c r="E109" s="1" t="s">
        <v>278</v>
      </c>
      <c r="F109" s="15">
        <v>726.98</v>
      </c>
      <c r="G109" s="15">
        <f t="shared" si="0"/>
        <v>504.847222222222</v>
      </c>
      <c r="H109" s="16">
        <f t="shared" si="1"/>
        <v>0.130429998074223</v>
      </c>
      <c r="I109" s="15">
        <v>439.0</v>
      </c>
      <c r="J109" s="15">
        <v>359.0</v>
      </c>
    </row>
    <row r="110" ht="17.0">
      <c r="A110" s="1" t="s">
        <v>504</v>
      </c>
      <c r="B110" s="1" t="s">
        <v>727</v>
      </c>
      <c r="C110" s="1" t="s">
        <v>728</v>
      </c>
      <c r="D110" s="1">
        <v>2.16</v>
      </c>
      <c r="E110" s="1" t="s">
        <v>278</v>
      </c>
      <c r="F110" s="15">
        <v>1090.48</v>
      </c>
      <c r="G110" s="15">
        <f t="shared" si="0"/>
        <v>504.851851851851</v>
      </c>
      <c r="H110" s="16">
        <f t="shared" si="1"/>
        <v>0.130437972269091</v>
      </c>
      <c r="I110" s="15">
        <v>439.0</v>
      </c>
      <c r="J110" s="15">
        <v>429.0</v>
      </c>
    </row>
    <row r="111" ht="17.0">
      <c r="A111" s="1" t="s">
        <v>504</v>
      </c>
      <c r="B111" s="1" t="s">
        <v>729</v>
      </c>
      <c r="C111" s="1" t="s">
        <v>730</v>
      </c>
      <c r="D111" s="1">
        <v>2.16</v>
      </c>
      <c r="E111" s="1" t="s">
        <v>278</v>
      </c>
      <c r="F111" s="15">
        <v>1090.48</v>
      </c>
      <c r="G111" s="15">
        <f t="shared" si="0"/>
        <v>504.851851851851</v>
      </c>
      <c r="H111" s="16">
        <f t="shared" si="1"/>
        <v>0.130437972269091</v>
      </c>
      <c r="I111" s="15">
        <v>439.0</v>
      </c>
      <c r="J111" s="15">
        <v>429.0</v>
      </c>
    </row>
    <row r="112" ht="17.0">
      <c r="A112" s="1" t="s">
        <v>504</v>
      </c>
      <c r="B112" s="1" t="s">
        <v>731</v>
      </c>
      <c r="C112" s="1" t="s">
        <v>732</v>
      </c>
      <c r="D112" s="1">
        <v>2.16</v>
      </c>
      <c r="E112" s="1" t="s">
        <v>278</v>
      </c>
      <c r="F112" s="15">
        <v>1090.48</v>
      </c>
      <c r="G112" s="15">
        <f t="shared" si="0"/>
        <v>504.851851851851</v>
      </c>
      <c r="H112" s="16">
        <f t="shared" si="1"/>
        <v>0.130437972269091</v>
      </c>
      <c r="I112" s="15">
        <v>439.0</v>
      </c>
      <c r="J112" s="15">
        <v>429.0</v>
      </c>
    </row>
    <row r="113" ht="17.0">
      <c r="A113" s="1" t="s">
        <v>504</v>
      </c>
      <c r="B113" s="1" t="s">
        <v>733</v>
      </c>
      <c r="C113" s="1" t="s">
        <v>734</v>
      </c>
      <c r="D113" s="1">
        <v>2.16</v>
      </c>
      <c r="E113" s="1" t="s">
        <v>278</v>
      </c>
      <c r="F113" s="15">
        <v>1090.48</v>
      </c>
      <c r="G113" s="15">
        <f t="shared" si="0"/>
        <v>504.851851851851</v>
      </c>
      <c r="H113" s="16">
        <f t="shared" si="1"/>
        <v>0.130437972269091</v>
      </c>
      <c r="I113" s="15">
        <v>439.0</v>
      </c>
      <c r="J113" s="15">
        <v>379.0</v>
      </c>
    </row>
    <row r="114" ht="17.0">
      <c r="A114" s="1" t="s">
        <v>504</v>
      </c>
      <c r="B114" s="1" t="s">
        <v>735</v>
      </c>
      <c r="C114" s="1" t="s">
        <v>736</v>
      </c>
      <c r="D114" s="1">
        <v>1.44</v>
      </c>
      <c r="E114" s="1" t="s">
        <v>278</v>
      </c>
      <c r="F114" s="15">
        <v>809.0</v>
      </c>
      <c r="G114" s="15">
        <f t="shared" si="0"/>
        <v>561.805555555556</v>
      </c>
      <c r="H114" s="16">
        <f t="shared" si="1"/>
        <v>0.20079110012361</v>
      </c>
      <c r="I114" s="15">
        <v>449.0</v>
      </c>
      <c r="J114" s="15">
        <v>439.0</v>
      </c>
    </row>
    <row r="115" ht="17.0">
      <c r="A115" s="1" t="s">
        <v>504</v>
      </c>
      <c r="B115" s="1" t="s">
        <v>737</v>
      </c>
      <c r="C115" s="1" t="s">
        <v>738</v>
      </c>
      <c r="D115" s="1">
        <v>1.44</v>
      </c>
      <c r="E115" s="1" t="s">
        <v>278</v>
      </c>
      <c r="F115" s="15">
        <v>1029.0</v>
      </c>
      <c r="G115" s="15">
        <f t="shared" si="0"/>
        <v>714.583333333333</v>
      </c>
      <c r="H115" s="16">
        <f t="shared" si="1"/>
        <v>0.371661807580175</v>
      </c>
      <c r="I115" s="15">
        <v>449.0</v>
      </c>
      <c r="J115" s="15">
        <v>359.0</v>
      </c>
    </row>
    <row r="116" ht="17.0">
      <c r="A116" s="1" t="s">
        <v>504</v>
      </c>
      <c r="B116" s="1" t="s">
        <v>739</v>
      </c>
      <c r="C116" s="1" t="s">
        <v>740</v>
      </c>
      <c r="D116" s="1">
        <v>1.44</v>
      </c>
      <c r="E116" s="1" t="s">
        <v>278</v>
      </c>
      <c r="F116" s="15">
        <v>1029.0</v>
      </c>
      <c r="G116" s="15">
        <f t="shared" si="0"/>
        <v>714.583333333333</v>
      </c>
      <c r="H116" s="16">
        <f t="shared" si="1"/>
        <v>0.371661807580175</v>
      </c>
      <c r="I116" s="15">
        <v>449.0</v>
      </c>
      <c r="J116" s="15">
        <v>439.0</v>
      </c>
    </row>
    <row r="117" ht="17.0">
      <c r="A117" s="1" t="s">
        <v>504</v>
      </c>
      <c r="B117" s="1" t="s">
        <v>741</v>
      </c>
      <c r="C117" s="1" t="s">
        <v>742</v>
      </c>
      <c r="D117" s="1">
        <v>1.44</v>
      </c>
      <c r="E117" s="1" t="s">
        <v>278</v>
      </c>
      <c r="F117" s="15">
        <v>1029.0</v>
      </c>
      <c r="G117" s="15">
        <f t="shared" si="0"/>
        <v>714.583333333333</v>
      </c>
      <c r="H117" s="16">
        <f t="shared" si="1"/>
        <v>0.371661807580175</v>
      </c>
      <c r="I117" s="15">
        <v>449.0</v>
      </c>
      <c r="J117" s="15">
        <v>439.0</v>
      </c>
    </row>
    <row r="118" ht="17.0">
      <c r="A118" s="1" t="s">
        <v>504</v>
      </c>
      <c r="B118" s="1" t="s">
        <v>743</v>
      </c>
      <c r="C118" s="1" t="s">
        <v>744</v>
      </c>
      <c r="D118" s="1">
        <v>1.44</v>
      </c>
      <c r="E118" s="1" t="s">
        <v>278</v>
      </c>
      <c r="F118" s="15">
        <v>809.0</v>
      </c>
      <c r="G118" s="15">
        <f t="shared" si="0"/>
        <v>561.805555555556</v>
      </c>
      <c r="H118" s="16">
        <f t="shared" si="1"/>
        <v>0.182991347342397</v>
      </c>
      <c r="I118" s="15">
        <v>459.0</v>
      </c>
      <c r="J118" s="15">
        <v>449.0</v>
      </c>
    </row>
    <row r="119" ht="17.0">
      <c r="A119" s="1" t="s">
        <v>504</v>
      </c>
      <c r="B119" s="1" t="s">
        <v>745</v>
      </c>
      <c r="C119" s="1" t="s">
        <v>746</v>
      </c>
      <c r="D119" s="1">
        <v>1.44</v>
      </c>
      <c r="E119" s="1" t="s">
        <v>278</v>
      </c>
      <c r="F119" s="15">
        <v>899.0</v>
      </c>
      <c r="G119" s="15">
        <f t="shared" si="0"/>
        <v>624.305555555556</v>
      </c>
      <c r="H119" s="16">
        <f t="shared" si="1"/>
        <v>0.248765294771968</v>
      </c>
      <c r="I119" s="15">
        <v>469.0</v>
      </c>
      <c r="J119" s="15">
        <v>459.0</v>
      </c>
    </row>
    <row r="120" ht="17.0">
      <c r="A120" s="1" t="s">
        <v>504</v>
      </c>
      <c r="B120" s="1" t="s">
        <v>747</v>
      </c>
      <c r="C120" s="1" t="s">
        <v>748</v>
      </c>
      <c r="D120" s="1">
        <v>1.44</v>
      </c>
      <c r="E120" s="1" t="s">
        <v>278</v>
      </c>
      <c r="F120" s="15">
        <v>899.0</v>
      </c>
      <c r="G120" s="15">
        <f t="shared" si="0"/>
        <v>624.305555555556</v>
      </c>
      <c r="H120" s="16">
        <f t="shared" si="1"/>
        <v>0.248765294771968</v>
      </c>
      <c r="I120" s="15">
        <v>469.0</v>
      </c>
      <c r="J120" s="15">
        <v>459.0</v>
      </c>
    </row>
    <row r="121" ht="17.0">
      <c r="A121" s="1" t="s">
        <v>504</v>
      </c>
      <c r="B121" s="1" t="s">
        <v>749</v>
      </c>
      <c r="C121" s="1" t="s">
        <v>750</v>
      </c>
      <c r="D121" s="1">
        <v>1.44</v>
      </c>
      <c r="E121" s="1" t="s">
        <v>278</v>
      </c>
      <c r="F121" s="15">
        <v>899.0</v>
      </c>
      <c r="G121" s="15">
        <f t="shared" si="0"/>
        <v>624.305555555556</v>
      </c>
      <c r="H121" s="16">
        <f t="shared" si="1"/>
        <v>0.216729699666295</v>
      </c>
      <c r="I121" s="15">
        <v>489.0</v>
      </c>
      <c r="J121" s="15">
        <v>479.0</v>
      </c>
    </row>
    <row r="122" ht="17.0">
      <c r="A122" s="1" t="s">
        <v>504</v>
      </c>
      <c r="B122" s="1" t="s">
        <v>751</v>
      </c>
      <c r="C122" s="1" t="s">
        <v>752</v>
      </c>
      <c r="D122" s="1">
        <v>1.44</v>
      </c>
      <c r="E122" s="1" t="s">
        <v>278</v>
      </c>
      <c r="F122" s="15">
        <v>869.0</v>
      </c>
      <c r="G122" s="15">
        <f t="shared" si="0"/>
        <v>603.472222222222</v>
      </c>
      <c r="H122" s="16">
        <f t="shared" si="1"/>
        <v>0.189689298043728</v>
      </c>
      <c r="I122" s="15">
        <v>489.0</v>
      </c>
      <c r="J122" s="15">
        <v>479.0</v>
      </c>
    </row>
    <row r="123" ht="17.0">
      <c r="A123" s="1" t="s">
        <v>504</v>
      </c>
      <c r="B123" s="1" t="s">
        <v>753</v>
      </c>
      <c r="C123" s="1" t="s">
        <v>754</v>
      </c>
      <c r="D123" s="1">
        <v>1.44</v>
      </c>
      <c r="E123" s="1" t="s">
        <v>278</v>
      </c>
      <c r="F123" s="15">
        <v>899.0</v>
      </c>
      <c r="G123" s="15">
        <f t="shared" si="0"/>
        <v>624.305555555556</v>
      </c>
      <c r="H123" s="16">
        <f t="shared" si="1"/>
        <v>0.216729699666295</v>
      </c>
      <c r="I123" s="15">
        <v>489.0</v>
      </c>
      <c r="J123" s="15">
        <v>479.0</v>
      </c>
    </row>
    <row r="124" ht="17.0">
      <c r="A124" s="1" t="s">
        <v>504</v>
      </c>
      <c r="B124" s="1" t="s">
        <v>755</v>
      </c>
      <c r="C124" s="1" t="s">
        <v>756</v>
      </c>
      <c r="D124" s="1">
        <v>1.44</v>
      </c>
      <c r="E124" s="1" t="s">
        <v>278</v>
      </c>
      <c r="F124" s="15">
        <v>899.0</v>
      </c>
      <c r="G124" s="15">
        <f t="shared" si="0"/>
        <v>624.305555555556</v>
      </c>
      <c r="H124" s="16">
        <f t="shared" si="1"/>
        <v>0.216729699666295</v>
      </c>
      <c r="I124" s="15">
        <v>489.0</v>
      </c>
      <c r="J124" s="15">
        <v>479.0</v>
      </c>
    </row>
    <row r="125" ht="17.0">
      <c r="A125" s="1" t="s">
        <v>504</v>
      </c>
      <c r="B125" s="1" t="s">
        <v>757</v>
      </c>
      <c r="C125" s="1" t="s">
        <v>758</v>
      </c>
      <c r="D125" s="1">
        <v>1.44</v>
      </c>
      <c r="E125" s="1" t="s">
        <v>278</v>
      </c>
      <c r="F125" s="15">
        <v>899.0</v>
      </c>
      <c r="G125" s="15">
        <f t="shared" si="0"/>
        <v>624.305555555556</v>
      </c>
      <c r="H125" s="16">
        <f t="shared" si="1"/>
        <v>0.216729699666295</v>
      </c>
      <c r="I125" s="15">
        <v>489.0</v>
      </c>
      <c r="J125" s="15">
        <v>479.0</v>
      </c>
    </row>
    <row r="126" ht="17.0">
      <c r="A126" s="1" t="s">
        <v>504</v>
      </c>
      <c r="B126" s="1" t="s">
        <v>759</v>
      </c>
      <c r="C126" s="1" t="s">
        <v>760</v>
      </c>
      <c r="D126" s="1">
        <v>1.44</v>
      </c>
      <c r="E126" s="1" t="s">
        <v>278</v>
      </c>
      <c r="F126" s="15">
        <v>899.0</v>
      </c>
      <c r="G126" s="15">
        <f t="shared" si="0"/>
        <v>624.305555555556</v>
      </c>
      <c r="H126" s="16">
        <f t="shared" si="1"/>
        <v>0.216729699666295</v>
      </c>
      <c r="I126" s="15">
        <v>489.0</v>
      </c>
      <c r="J126" s="15">
        <v>479.0</v>
      </c>
    </row>
    <row r="127" ht="17.0">
      <c r="A127" s="1" t="s">
        <v>504</v>
      </c>
      <c r="B127" s="1" t="s">
        <v>761</v>
      </c>
      <c r="C127" s="1" t="s">
        <v>762</v>
      </c>
      <c r="D127" s="1">
        <v>1.44</v>
      </c>
      <c r="E127" s="1" t="s">
        <v>278</v>
      </c>
      <c r="F127" s="15">
        <v>899.0</v>
      </c>
      <c r="G127" s="15">
        <f t="shared" si="0"/>
        <v>624.305555555556</v>
      </c>
      <c r="H127" s="16">
        <f t="shared" si="1"/>
        <v>0.216729699666295</v>
      </c>
      <c r="I127" s="15">
        <v>489.0</v>
      </c>
      <c r="J127" s="15">
        <v>479.0</v>
      </c>
    </row>
    <row r="128" ht="17.0">
      <c r="A128" s="1" t="s">
        <v>504</v>
      </c>
      <c r="B128" s="1" t="s">
        <v>763</v>
      </c>
      <c r="C128" s="1" t="s">
        <v>764</v>
      </c>
      <c r="D128" s="1">
        <v>1.44</v>
      </c>
      <c r="E128" s="1" t="s">
        <v>278</v>
      </c>
      <c r="F128" s="15">
        <v>899.0</v>
      </c>
      <c r="G128" s="15">
        <f t="shared" si="0"/>
        <v>624.305555555556</v>
      </c>
      <c r="H128" s="16">
        <f t="shared" si="1"/>
        <v>0.216729699666295</v>
      </c>
      <c r="I128" s="15">
        <v>489.0</v>
      </c>
      <c r="J128" s="15">
        <v>479.0</v>
      </c>
    </row>
    <row r="129" ht="17.0">
      <c r="A129" s="1" t="s">
        <v>504</v>
      </c>
      <c r="B129" s="1" t="s">
        <v>765</v>
      </c>
      <c r="C129" s="1" t="s">
        <v>766</v>
      </c>
      <c r="D129" s="1">
        <v>1.44</v>
      </c>
      <c r="E129" s="1" t="s">
        <v>278</v>
      </c>
      <c r="F129" s="15">
        <v>899.0</v>
      </c>
      <c r="G129" s="15">
        <f t="shared" si="0"/>
        <v>624.305555555556</v>
      </c>
      <c r="H129" s="16">
        <f t="shared" si="1"/>
        <v>0.216729699666295</v>
      </c>
      <c r="I129" s="15">
        <v>489.0</v>
      </c>
      <c r="J129" s="15">
        <v>479.0</v>
      </c>
    </row>
    <row r="130" ht="17.0">
      <c r="A130" s="1" t="s">
        <v>504</v>
      </c>
      <c r="B130" s="1" t="s">
        <v>767</v>
      </c>
      <c r="C130" s="1" t="s">
        <v>768</v>
      </c>
      <c r="D130" s="1">
        <v>1.44</v>
      </c>
      <c r="E130" s="1" t="s">
        <v>278</v>
      </c>
      <c r="F130" s="15">
        <v>899.0</v>
      </c>
      <c r="G130" s="15">
        <f t="shared" si="0"/>
        <v>624.305555555556</v>
      </c>
      <c r="H130" s="16">
        <f t="shared" si="1"/>
        <v>0.216729699666295</v>
      </c>
      <c r="I130" s="15">
        <v>489.0</v>
      </c>
      <c r="J130" s="15">
        <v>429.0</v>
      </c>
    </row>
    <row r="131" ht="17.0">
      <c r="A131" s="1" t="s">
        <v>504</v>
      </c>
      <c r="B131" s="1" t="s">
        <v>769</v>
      </c>
      <c r="C131" s="1" t="s">
        <v>770</v>
      </c>
      <c r="D131" s="1">
        <v>1.44</v>
      </c>
      <c r="E131" s="1" t="s">
        <v>278</v>
      </c>
      <c r="F131" s="15">
        <v>899.0</v>
      </c>
      <c r="G131" s="15">
        <f t="shared" si="0"/>
        <v>624.305555555556</v>
      </c>
      <c r="H131" s="16">
        <f t="shared" si="1"/>
        <v>0.216729699666295</v>
      </c>
      <c r="I131" s="15">
        <v>489.0</v>
      </c>
      <c r="J131" s="15">
        <v>429.0</v>
      </c>
    </row>
    <row r="132" ht="17.0">
      <c r="A132" s="1" t="s">
        <v>504</v>
      </c>
      <c r="B132" s="1" t="s">
        <v>771</v>
      </c>
      <c r="C132" s="1" t="s">
        <v>772</v>
      </c>
      <c r="D132" s="1">
        <v>1.44</v>
      </c>
      <c r="E132" s="1" t="s">
        <v>278</v>
      </c>
      <c r="F132" s="15">
        <v>899.0</v>
      </c>
      <c r="G132" s="15">
        <f t="shared" si="0"/>
        <v>624.305555555556</v>
      </c>
      <c r="H132" s="16">
        <f t="shared" si="1"/>
        <v>0.216729699666295</v>
      </c>
      <c r="I132" s="15">
        <v>489.0</v>
      </c>
      <c r="J132" s="15">
        <v>429.0</v>
      </c>
    </row>
    <row r="133" ht="17.0">
      <c r="A133" s="1" t="s">
        <v>504</v>
      </c>
      <c r="B133" s="1" t="s">
        <v>773</v>
      </c>
      <c r="C133" s="1" t="s">
        <v>774</v>
      </c>
      <c r="D133" s="1">
        <v>1.44</v>
      </c>
      <c r="E133" s="1" t="s">
        <v>278</v>
      </c>
      <c r="F133" s="15">
        <v>899.0</v>
      </c>
      <c r="G133" s="15">
        <f t="shared" si="0"/>
        <v>624.305555555556</v>
      </c>
      <c r="H133" s="16">
        <f t="shared" si="1"/>
        <v>0.216729699666295</v>
      </c>
      <c r="I133" s="15">
        <v>489.0</v>
      </c>
      <c r="J133" s="15">
        <v>429.0</v>
      </c>
    </row>
    <row r="134" ht="17.0">
      <c r="A134" s="1" t="s">
        <v>504</v>
      </c>
      <c r="B134" s="1" t="s">
        <v>775</v>
      </c>
      <c r="C134" s="1" t="s">
        <v>776</v>
      </c>
      <c r="D134" s="1">
        <v>1.44</v>
      </c>
      <c r="E134" s="1" t="s">
        <v>278</v>
      </c>
      <c r="F134" s="15">
        <v>899.0</v>
      </c>
      <c r="G134" s="15">
        <f t="shared" si="0"/>
        <v>624.305555555556</v>
      </c>
      <c r="H134" s="16">
        <f t="shared" si="1"/>
        <v>0.216729699666295</v>
      </c>
      <c r="I134" s="15">
        <v>489.0</v>
      </c>
      <c r="J134" s="15">
        <v>429.0</v>
      </c>
    </row>
    <row r="135" ht="17.0">
      <c r="A135" s="1" t="s">
        <v>504</v>
      </c>
      <c r="B135" s="1" t="s">
        <v>777</v>
      </c>
      <c r="C135" s="1" t="s">
        <v>778</v>
      </c>
      <c r="D135" s="1">
        <v>1.44</v>
      </c>
      <c r="E135" s="1" t="s">
        <v>278</v>
      </c>
      <c r="F135" s="15">
        <v>899.0</v>
      </c>
      <c r="G135" s="15">
        <f t="shared" si="0"/>
        <v>624.305555555556</v>
      </c>
      <c r="H135" s="16">
        <f t="shared" si="1"/>
        <v>0.216729699666295</v>
      </c>
      <c r="I135" s="15">
        <v>489.0</v>
      </c>
      <c r="J135" s="15">
        <v>479.0</v>
      </c>
    </row>
    <row r="136" ht="17.0">
      <c r="A136" s="1" t="s">
        <v>504</v>
      </c>
      <c r="B136" s="1" t="s">
        <v>779</v>
      </c>
      <c r="C136" s="1" t="s">
        <v>780</v>
      </c>
      <c r="D136" s="1">
        <v>1.44</v>
      </c>
      <c r="E136" s="1" t="s">
        <v>278</v>
      </c>
      <c r="F136" s="15">
        <v>899.0</v>
      </c>
      <c r="G136" s="15">
        <f t="shared" si="0"/>
        <v>624.305555555556</v>
      </c>
      <c r="H136" s="16">
        <f t="shared" si="1"/>
        <v>0.216729699666295</v>
      </c>
      <c r="I136" s="15">
        <v>489.0</v>
      </c>
      <c r="J136" s="15">
        <v>479.0</v>
      </c>
    </row>
    <row r="137" ht="17.0">
      <c r="A137" s="1" t="s">
        <v>504</v>
      </c>
      <c r="B137" s="1" t="s">
        <v>781</v>
      </c>
      <c r="C137" s="1" t="s">
        <v>782</v>
      </c>
      <c r="D137" s="1">
        <v>1.44</v>
      </c>
      <c r="E137" s="1" t="s">
        <v>278</v>
      </c>
      <c r="F137" s="15">
        <v>869.0</v>
      </c>
      <c r="G137" s="15">
        <f t="shared" si="0"/>
        <v>603.472222222222</v>
      </c>
      <c r="H137" s="16">
        <f t="shared" si="1"/>
        <v>0.139976985040276</v>
      </c>
      <c r="I137" s="15">
        <v>519.0</v>
      </c>
      <c r="J137" s="15">
        <v>509.0</v>
      </c>
    </row>
    <row r="138" ht="17.0">
      <c r="A138" s="1" t="s">
        <v>504</v>
      </c>
      <c r="B138" s="1" t="s">
        <v>783</v>
      </c>
      <c r="C138" s="1" t="s">
        <v>784</v>
      </c>
      <c r="D138" s="1">
        <v>1.44</v>
      </c>
      <c r="E138" s="1" t="s">
        <v>278</v>
      </c>
      <c r="F138" s="15">
        <v>899.0</v>
      </c>
      <c r="G138" s="15">
        <f t="shared" si="0"/>
        <v>624.305555555556</v>
      </c>
      <c r="H138" s="16">
        <f t="shared" si="1"/>
        <v>0.168676307007787</v>
      </c>
      <c r="I138" s="15">
        <v>519.0</v>
      </c>
      <c r="J138" s="15">
        <v>509.0</v>
      </c>
    </row>
    <row r="139" ht="17.0">
      <c r="A139" s="1" t="s">
        <v>504</v>
      </c>
      <c r="B139" s="1" t="s">
        <v>785</v>
      </c>
      <c r="C139" s="1" t="s">
        <v>786</v>
      </c>
      <c r="D139" s="1">
        <v>1.44</v>
      </c>
      <c r="E139" s="1" t="s">
        <v>278</v>
      </c>
      <c r="F139" s="15">
        <v>869.0</v>
      </c>
      <c r="G139" s="15">
        <f t="shared" si="0"/>
        <v>603.472222222222</v>
      </c>
      <c r="H139" s="16">
        <f t="shared" si="1"/>
        <v>0.139976985040276</v>
      </c>
      <c r="I139" s="15">
        <v>519.0</v>
      </c>
      <c r="J139" s="15">
        <v>459.0</v>
      </c>
    </row>
    <row r="140" ht="17.0">
      <c r="A140" s="1" t="s">
        <v>504</v>
      </c>
      <c r="B140" s="1" t="s">
        <v>787</v>
      </c>
      <c r="C140" s="1" t="s">
        <v>788</v>
      </c>
      <c r="D140" s="1">
        <v>1.44</v>
      </c>
      <c r="E140" s="1" t="s">
        <v>278</v>
      </c>
      <c r="F140" s="15">
        <v>869.0</v>
      </c>
      <c r="G140" s="15">
        <f t="shared" si="0"/>
        <v>603.472222222222</v>
      </c>
      <c r="H140" s="16">
        <f t="shared" si="1"/>
        <v>0.139976985040276</v>
      </c>
      <c r="I140" s="15">
        <v>519.0</v>
      </c>
      <c r="J140" s="15">
        <v>509.0</v>
      </c>
    </row>
    <row r="141" ht="17.0">
      <c r="A141" s="1" t="s">
        <v>504</v>
      </c>
      <c r="B141" s="1" t="s">
        <v>789</v>
      </c>
      <c r="C141" s="1" t="s">
        <v>790</v>
      </c>
      <c r="D141" s="1">
        <v>1.44</v>
      </c>
      <c r="E141" s="1" t="s">
        <v>278</v>
      </c>
      <c r="F141" s="15">
        <v>899.0</v>
      </c>
      <c r="G141" s="15">
        <f t="shared" si="0"/>
        <v>624.305555555556</v>
      </c>
      <c r="H141" s="16">
        <f t="shared" si="1"/>
        <v>0.168676307007787</v>
      </c>
      <c r="I141" s="15">
        <v>519.0</v>
      </c>
      <c r="J141" s="15">
        <v>509.0</v>
      </c>
    </row>
    <row r="142" ht="17.0">
      <c r="A142" s="1" t="s">
        <v>504</v>
      </c>
      <c r="B142" s="1" t="s">
        <v>791</v>
      </c>
      <c r="C142" s="1" t="s">
        <v>792</v>
      </c>
      <c r="D142" s="1">
        <v>1.44</v>
      </c>
      <c r="E142" s="1" t="s">
        <v>278</v>
      </c>
      <c r="F142" s="15">
        <v>1029.0</v>
      </c>
      <c r="G142" s="15">
        <f t="shared" si="0"/>
        <v>714.583333333333</v>
      </c>
      <c r="H142" s="16">
        <f t="shared" si="1"/>
        <v>0.273702623906704</v>
      </c>
      <c r="I142" s="15">
        <v>519.0</v>
      </c>
      <c r="J142" s="15">
        <v>509.0</v>
      </c>
    </row>
    <row r="143" ht="17.0">
      <c r="A143" s="1" t="s">
        <v>504</v>
      </c>
      <c r="B143" s="1" t="s">
        <v>793</v>
      </c>
      <c r="C143" s="1" t="s">
        <v>794</v>
      </c>
      <c r="D143" s="1">
        <v>1.44</v>
      </c>
      <c r="E143" s="1" t="s">
        <v>278</v>
      </c>
      <c r="F143" s="15">
        <v>892.58</v>
      </c>
      <c r="G143" s="15">
        <f t="shared" si="0"/>
        <v>619.847222222222</v>
      </c>
      <c r="H143" s="16">
        <f t="shared" si="1"/>
        <v>0.130430885746934</v>
      </c>
      <c r="I143" s="15">
        <v>539.0</v>
      </c>
      <c r="J143" s="15">
        <v>529.0</v>
      </c>
    </row>
    <row r="144" ht="17.0">
      <c r="A144" s="1" t="s">
        <v>504</v>
      </c>
      <c r="B144" s="1" t="s">
        <v>795</v>
      </c>
      <c r="C144" s="1" t="s">
        <v>796</v>
      </c>
      <c r="D144" s="1">
        <v>1.44</v>
      </c>
      <c r="E144" s="1" t="s">
        <v>278</v>
      </c>
      <c r="F144" s="15">
        <v>1029.0</v>
      </c>
      <c r="G144" s="15">
        <f t="shared" si="0"/>
        <v>714.583333333333</v>
      </c>
      <c r="H144" s="16">
        <f t="shared" si="1"/>
        <v>0.147755102040816</v>
      </c>
      <c r="I144" s="15">
        <v>609.0</v>
      </c>
      <c r="J144" s="15">
        <v>599.0</v>
      </c>
    </row>
    <row r="145" ht="17.0">
      <c r="A145" s="1" t="s">
        <v>504</v>
      </c>
      <c r="B145" s="1" t="s">
        <v>797</v>
      </c>
      <c r="C145" s="1" t="s">
        <v>798</v>
      </c>
      <c r="D145" s="1">
        <v>1.44</v>
      </c>
      <c r="E145" s="1" t="s">
        <v>104</v>
      </c>
      <c r="F145" s="15">
        <v>469.0</v>
      </c>
      <c r="G145" s="15">
        <f t="shared" si="0"/>
        <v>325.694444444444</v>
      </c>
      <c r="H145" s="16">
        <f t="shared" si="1"/>
        <v>0.266183368869935</v>
      </c>
      <c r="I145" s="15">
        <v>239.0</v>
      </c>
      <c r="J145" s="15">
        <v>229.0</v>
      </c>
    </row>
    <row r="146" ht="17.0">
      <c r="A146" s="1" t="s">
        <v>504</v>
      </c>
      <c r="B146" s="1" t="s">
        <v>799</v>
      </c>
      <c r="C146" s="1" t="s">
        <v>800</v>
      </c>
      <c r="D146" s="1">
        <v>1.44</v>
      </c>
      <c r="E146" s="1" t="s">
        <v>104</v>
      </c>
      <c r="F146" s="15">
        <v>469.0</v>
      </c>
      <c r="G146" s="15">
        <f t="shared" si="0"/>
        <v>325.694444444444</v>
      </c>
      <c r="H146" s="16">
        <f t="shared" si="1"/>
        <v>0.266183368869935</v>
      </c>
      <c r="I146" s="15">
        <v>239.0</v>
      </c>
      <c r="J146" s="15">
        <v>229.0</v>
      </c>
    </row>
    <row r="147" ht="17.0">
      <c r="A147" s="1" t="s">
        <v>504</v>
      </c>
      <c r="B147" s="1" t="s">
        <v>801</v>
      </c>
      <c r="C147" s="1" t="s">
        <v>802</v>
      </c>
      <c r="D147" s="1">
        <v>1.44</v>
      </c>
      <c r="E147" s="1" t="s">
        <v>104</v>
      </c>
      <c r="F147" s="15">
        <v>469.0</v>
      </c>
      <c r="G147" s="15">
        <f t="shared" si="0"/>
        <v>325.694444444444</v>
      </c>
      <c r="H147" s="16">
        <f t="shared" si="1"/>
        <v>0.266183368869935</v>
      </c>
      <c r="I147" s="15">
        <v>239.0</v>
      </c>
      <c r="J147" s="15">
        <v>229.0</v>
      </c>
    </row>
    <row r="148" ht="17.0">
      <c r="A148" s="1" t="s">
        <v>504</v>
      </c>
      <c r="B148" s="1" t="s">
        <v>803</v>
      </c>
      <c r="C148" s="1" t="s">
        <v>804</v>
      </c>
      <c r="D148" s="1">
        <v>1.44</v>
      </c>
      <c r="E148" s="1" t="s">
        <v>104</v>
      </c>
      <c r="F148" s="15">
        <v>469.0</v>
      </c>
      <c r="G148" s="15">
        <f t="shared" si="0"/>
        <v>325.694444444444</v>
      </c>
      <c r="H148" s="16">
        <f t="shared" si="1"/>
        <v>0.266183368869935</v>
      </c>
      <c r="I148" s="15">
        <v>239.0</v>
      </c>
      <c r="J148" s="15">
        <v>189.0</v>
      </c>
      <c r="K148" s="11" t="s">
        <v>524</v>
      </c>
    </row>
    <row r="149" ht="17.0">
      <c r="A149" s="1" t="s">
        <v>504</v>
      </c>
      <c r="B149" s="1" t="s">
        <v>805</v>
      </c>
      <c r="C149" s="1" t="s">
        <v>806</v>
      </c>
      <c r="D149" s="1">
        <v>1.44</v>
      </c>
      <c r="E149" s="1" t="s">
        <v>104</v>
      </c>
      <c r="F149" s="15">
        <v>469.0</v>
      </c>
      <c r="G149" s="15">
        <f t="shared" si="0"/>
        <v>325.694444444444</v>
      </c>
      <c r="H149" s="16">
        <f t="shared" si="1"/>
        <v>0.266183368869935</v>
      </c>
      <c r="I149" s="15">
        <v>239.0</v>
      </c>
      <c r="J149" s="15">
        <v>229.0</v>
      </c>
    </row>
    <row r="150" ht="17.0">
      <c r="A150" s="1" t="s">
        <v>504</v>
      </c>
      <c r="B150" s="1" t="s">
        <v>807</v>
      </c>
      <c r="C150" s="1" t="s">
        <v>808</v>
      </c>
      <c r="D150" s="1">
        <v>1.44</v>
      </c>
      <c r="E150" s="1" t="s">
        <v>104</v>
      </c>
      <c r="F150" s="15">
        <v>469.0</v>
      </c>
      <c r="G150" s="15">
        <f t="shared" si="0"/>
        <v>325.694444444444</v>
      </c>
      <c r="H150" s="16">
        <f t="shared" si="1"/>
        <v>0.266183368869935</v>
      </c>
      <c r="I150" s="15">
        <v>239.0</v>
      </c>
      <c r="J150" s="15">
        <v>229.0</v>
      </c>
    </row>
    <row r="151" ht="17.0">
      <c r="A151" s="1" t="s">
        <v>504</v>
      </c>
      <c r="B151" s="1" t="s">
        <v>809</v>
      </c>
      <c r="C151" s="1" t="s">
        <v>810</v>
      </c>
      <c r="D151" s="1">
        <v>1.44</v>
      </c>
      <c r="E151" s="1" t="s">
        <v>104</v>
      </c>
      <c r="F151" s="15">
        <v>469.0</v>
      </c>
      <c r="G151" s="15">
        <f t="shared" si="0"/>
        <v>325.694444444444</v>
      </c>
      <c r="H151" s="16">
        <f t="shared" si="1"/>
        <v>0.266183368869935</v>
      </c>
      <c r="I151" s="15">
        <v>239.0</v>
      </c>
      <c r="J151" s="15">
        <v>189.0</v>
      </c>
      <c r="K151" s="11" t="s">
        <v>524</v>
      </c>
    </row>
    <row r="152" ht="17.0">
      <c r="A152" s="1" t="s">
        <v>504</v>
      </c>
      <c r="B152" s="1" t="s">
        <v>811</v>
      </c>
      <c r="C152" s="1" t="s">
        <v>812</v>
      </c>
      <c r="D152" s="1">
        <v>1.44</v>
      </c>
      <c r="E152" s="1" t="s">
        <v>104</v>
      </c>
      <c r="F152" s="15">
        <v>469.0</v>
      </c>
      <c r="G152" s="15">
        <f t="shared" si="0"/>
        <v>325.694444444444</v>
      </c>
      <c r="H152" s="16">
        <f t="shared" si="1"/>
        <v>0.266183368869935</v>
      </c>
      <c r="I152" s="15">
        <v>239.0</v>
      </c>
      <c r="J152" s="15">
        <v>189.0</v>
      </c>
      <c r="K152" s="11" t="s">
        <v>524</v>
      </c>
    </row>
    <row r="153" ht="17.0">
      <c r="A153" s="1" t="s">
        <v>504</v>
      </c>
      <c r="B153" s="1" t="s">
        <v>813</v>
      </c>
      <c r="C153" s="1" t="s">
        <v>814</v>
      </c>
      <c r="D153" s="1">
        <v>1.44</v>
      </c>
      <c r="E153" s="1" t="s">
        <v>104</v>
      </c>
      <c r="F153" s="15">
        <v>412.34</v>
      </c>
      <c r="G153" s="15">
        <f t="shared" si="0"/>
        <v>286.347222222222</v>
      </c>
      <c r="H153" s="16">
        <f t="shared" si="1"/>
        <v>0.130426347189211</v>
      </c>
      <c r="I153" s="15">
        <v>249.0</v>
      </c>
      <c r="J153" s="15">
        <v>239.0</v>
      </c>
    </row>
    <row r="154" ht="17.0">
      <c r="A154" s="1" t="s">
        <v>504</v>
      </c>
      <c r="B154" s="1" t="s">
        <v>815</v>
      </c>
      <c r="C154" s="1" t="s">
        <v>816</v>
      </c>
      <c r="D154" s="1">
        <v>1.44</v>
      </c>
      <c r="E154" s="1" t="s">
        <v>104</v>
      </c>
      <c r="F154" s="15">
        <v>412.34</v>
      </c>
      <c r="G154" s="15">
        <f t="shared" si="0"/>
        <v>286.347222222222</v>
      </c>
      <c r="H154" s="16">
        <f t="shared" si="1"/>
        <v>0.130426347189211</v>
      </c>
      <c r="I154" s="15">
        <v>249.0</v>
      </c>
      <c r="J154" s="15">
        <v>239.0</v>
      </c>
    </row>
    <row r="155" ht="17.0">
      <c r="A155" s="1" t="s">
        <v>504</v>
      </c>
      <c r="B155" s="1" t="s">
        <v>817</v>
      </c>
      <c r="C155" s="1" t="s">
        <v>818</v>
      </c>
      <c r="D155" s="1">
        <v>1.44</v>
      </c>
      <c r="E155" s="1" t="s">
        <v>104</v>
      </c>
      <c r="F155" s="15">
        <v>412.34</v>
      </c>
      <c r="G155" s="15">
        <f t="shared" si="0"/>
        <v>286.347222222222</v>
      </c>
      <c r="H155" s="16">
        <f t="shared" si="1"/>
        <v>0.130426347189211</v>
      </c>
      <c r="I155" s="15">
        <v>249.0</v>
      </c>
      <c r="J155" s="15">
        <v>199.0</v>
      </c>
    </row>
    <row r="156" ht="17.0">
      <c r="A156" s="1" t="s">
        <v>504</v>
      </c>
      <c r="B156" s="1" t="s">
        <v>819</v>
      </c>
      <c r="C156" s="1" t="s">
        <v>820</v>
      </c>
      <c r="D156" s="1">
        <v>1.44</v>
      </c>
      <c r="E156" s="1" t="s">
        <v>104</v>
      </c>
      <c r="F156" s="15">
        <v>599.0</v>
      </c>
      <c r="G156" s="15">
        <f t="shared" si="0"/>
        <v>415.972222222222</v>
      </c>
      <c r="H156" s="16">
        <f t="shared" si="1"/>
        <v>0.329282136894824</v>
      </c>
      <c r="I156" s="15">
        <v>279.0</v>
      </c>
      <c r="J156" s="15">
        <v>269.0</v>
      </c>
    </row>
    <row r="157" ht="17.0">
      <c r="A157" s="1" t="s">
        <v>504</v>
      </c>
      <c r="B157" s="1" t="s">
        <v>821</v>
      </c>
      <c r="C157" s="1" t="s">
        <v>822</v>
      </c>
      <c r="D157" s="1">
        <v>1.44</v>
      </c>
      <c r="E157" s="1" t="s">
        <v>104</v>
      </c>
      <c r="F157" s="15">
        <v>649.0</v>
      </c>
      <c r="G157" s="15">
        <f t="shared" si="0"/>
        <v>450.694444444444</v>
      </c>
      <c r="H157" s="16">
        <f t="shared" si="1"/>
        <v>0.270015408320492</v>
      </c>
      <c r="I157" s="15">
        <v>329.0</v>
      </c>
      <c r="J157" s="15">
        <v>319.0</v>
      </c>
    </row>
    <row r="158" ht="17.0">
      <c r="A158" s="1" t="s">
        <v>504</v>
      </c>
      <c r="B158" s="1" t="s">
        <v>823</v>
      </c>
      <c r="C158" s="1" t="s">
        <v>824</v>
      </c>
      <c r="D158" s="1">
        <v>1.44</v>
      </c>
      <c r="E158" s="1" t="s">
        <v>104</v>
      </c>
      <c r="F158" s="15">
        <v>649.0</v>
      </c>
      <c r="G158" s="15">
        <f t="shared" si="0"/>
        <v>450.694444444444</v>
      </c>
      <c r="H158" s="16">
        <f t="shared" si="1"/>
        <v>0.270015408320492</v>
      </c>
      <c r="I158" s="15">
        <v>329.0</v>
      </c>
      <c r="J158" s="15">
        <v>319.0</v>
      </c>
    </row>
    <row r="159" ht="17.0">
      <c r="A159" s="1" t="s">
        <v>504</v>
      </c>
      <c r="B159" s="1" t="s">
        <v>825</v>
      </c>
      <c r="C159" s="1" t="s">
        <v>826</v>
      </c>
      <c r="D159" s="1">
        <v>1.44</v>
      </c>
      <c r="E159" s="1" t="s">
        <v>104</v>
      </c>
      <c r="F159" s="15">
        <v>649.0</v>
      </c>
      <c r="G159" s="15">
        <f t="shared" si="0"/>
        <v>450.694444444444</v>
      </c>
      <c r="H159" s="16">
        <f t="shared" si="1"/>
        <v>0.247827426810475</v>
      </c>
      <c r="I159" s="15">
        <v>339.0</v>
      </c>
      <c r="J159" s="15">
        <v>329.0</v>
      </c>
    </row>
    <row r="160" ht="17.0">
      <c r="A160" s="1" t="s">
        <v>504</v>
      </c>
      <c r="B160" s="1" t="s">
        <v>827</v>
      </c>
      <c r="C160" s="1" t="s">
        <v>828</v>
      </c>
      <c r="D160" s="1">
        <v>1.44</v>
      </c>
      <c r="E160" s="1" t="s">
        <v>104</v>
      </c>
      <c r="F160" s="15">
        <v>649.0</v>
      </c>
      <c r="G160" s="15">
        <f t="shared" si="0"/>
        <v>450.694444444444</v>
      </c>
      <c r="H160" s="16">
        <f t="shared" si="1"/>
        <v>0.247827426810475</v>
      </c>
      <c r="I160" s="15">
        <v>339.0</v>
      </c>
      <c r="J160" s="15">
        <v>329.0</v>
      </c>
    </row>
    <row r="161" ht="17.0">
      <c r="A161" s="1" t="s">
        <v>504</v>
      </c>
      <c r="B161" s="1" t="s">
        <v>829</v>
      </c>
      <c r="C161" s="1" t="s">
        <v>830</v>
      </c>
      <c r="D161" s="1">
        <v>1.44</v>
      </c>
      <c r="E161" s="1" t="s">
        <v>104</v>
      </c>
      <c r="F161" s="15">
        <v>627.62</v>
      </c>
      <c r="G161" s="15">
        <f t="shared" si="0"/>
        <v>435.847222222222</v>
      </c>
      <c r="H161" s="16">
        <f t="shared" si="1"/>
        <v>0.199260699149167</v>
      </c>
      <c r="I161" s="15">
        <v>349.0</v>
      </c>
      <c r="J161" s="15">
        <v>339.0</v>
      </c>
    </row>
    <row r="162" ht="17.0">
      <c r="A162" s="1" t="s">
        <v>504</v>
      </c>
      <c r="B162" s="1" t="s">
        <v>831</v>
      </c>
      <c r="C162" s="1" t="s">
        <v>832</v>
      </c>
      <c r="D162" s="1">
        <v>1.44</v>
      </c>
      <c r="E162" s="1" t="s">
        <v>104</v>
      </c>
      <c r="F162" s="15">
        <v>649.0</v>
      </c>
      <c r="G162" s="15">
        <f t="shared" si="0"/>
        <v>450.694444444444</v>
      </c>
      <c r="H162" s="16">
        <f t="shared" si="1"/>
        <v>0.22563944530046</v>
      </c>
      <c r="I162" s="15">
        <v>349.0</v>
      </c>
      <c r="J162" s="15">
        <v>339.0</v>
      </c>
    </row>
    <row r="163" ht="17.0">
      <c r="A163" s="1" t="s">
        <v>504</v>
      </c>
      <c r="B163" s="1" t="s">
        <v>833</v>
      </c>
      <c r="C163" s="1" t="s">
        <v>834</v>
      </c>
      <c r="D163" s="1">
        <v>1.44</v>
      </c>
      <c r="E163" s="1" t="s">
        <v>104</v>
      </c>
      <c r="F163" s="15">
        <v>599.0</v>
      </c>
      <c r="G163" s="15">
        <f t="shared" si="0"/>
        <v>415.972222222222</v>
      </c>
      <c r="H163" s="16">
        <f t="shared" si="1"/>
        <v>0.161001669449081</v>
      </c>
      <c r="I163" s="15">
        <v>349.0</v>
      </c>
      <c r="J163" s="15">
        <v>339.0</v>
      </c>
    </row>
    <row r="164" ht="17.0">
      <c r="A164" s="1" t="s">
        <v>504</v>
      </c>
      <c r="B164" s="1" t="s">
        <v>835</v>
      </c>
      <c r="C164" s="1" t="s">
        <v>836</v>
      </c>
      <c r="D164" s="1">
        <v>1.44</v>
      </c>
      <c r="E164" s="1" t="s">
        <v>104</v>
      </c>
      <c r="F164" s="15">
        <v>627.62</v>
      </c>
      <c r="G164" s="15">
        <f t="shared" si="0"/>
        <v>435.847222222222</v>
      </c>
      <c r="H164" s="16">
        <f t="shared" si="1"/>
        <v>0.130429240623305</v>
      </c>
      <c r="I164" s="15">
        <v>379.0</v>
      </c>
      <c r="J164" s="15">
        <v>369.0</v>
      </c>
    </row>
    <row r="165" ht="17.0">
      <c r="A165" s="1" t="s">
        <v>504</v>
      </c>
      <c r="B165" s="1" t="s">
        <v>837</v>
      </c>
      <c r="C165" s="1" t="s">
        <v>838</v>
      </c>
      <c r="D165" s="1">
        <v>1.44</v>
      </c>
      <c r="E165" s="1" t="s">
        <v>104</v>
      </c>
      <c r="F165" s="15">
        <v>644.18</v>
      </c>
      <c r="G165" s="15">
        <f t="shared" si="0"/>
        <v>447.347222222222</v>
      </c>
      <c r="H165" s="16">
        <f t="shared" si="1"/>
        <v>0.130429383091681</v>
      </c>
      <c r="I165" s="15">
        <v>389.0</v>
      </c>
      <c r="J165" s="15">
        <v>379.0</v>
      </c>
    </row>
    <row r="166" ht="17.0">
      <c r="A166" s="1" t="s">
        <v>504</v>
      </c>
      <c r="B166" s="1" t="s">
        <v>839</v>
      </c>
      <c r="C166" s="1" t="s">
        <v>840</v>
      </c>
      <c r="D166" s="1">
        <v>1.44</v>
      </c>
      <c r="E166" s="1" t="s">
        <v>104</v>
      </c>
      <c r="F166" s="15">
        <v>644.18</v>
      </c>
      <c r="G166" s="15">
        <f t="shared" si="0"/>
        <v>447.347222222222</v>
      </c>
      <c r="H166" s="16">
        <f t="shared" si="1"/>
        <v>0.130429383091681</v>
      </c>
      <c r="I166" s="15">
        <v>389.0</v>
      </c>
      <c r="J166" s="15">
        <v>379.0</v>
      </c>
    </row>
    <row r="167" ht="17.0">
      <c r="A167" s="1" t="s">
        <v>504</v>
      </c>
      <c r="B167" s="1" t="s">
        <v>841</v>
      </c>
      <c r="C167" s="1" t="s">
        <v>842</v>
      </c>
      <c r="D167" s="1">
        <v>1.44</v>
      </c>
      <c r="E167" s="1" t="s">
        <v>104</v>
      </c>
      <c r="F167" s="15">
        <v>699.0</v>
      </c>
      <c r="G167" s="15">
        <f t="shared" si="0"/>
        <v>485.416666666667</v>
      </c>
      <c r="H167" s="16">
        <f t="shared" si="1"/>
        <v>0.178025751072962</v>
      </c>
      <c r="I167" s="15">
        <v>399.0</v>
      </c>
      <c r="J167" s="15">
        <v>389.0</v>
      </c>
    </row>
    <row r="168" ht="17.0">
      <c r="A168" s="1" t="s">
        <v>504</v>
      </c>
      <c r="B168" s="1" t="s">
        <v>843</v>
      </c>
      <c r="C168" s="1" t="s">
        <v>844</v>
      </c>
      <c r="D168" s="1">
        <v>1.44</v>
      </c>
      <c r="E168" s="1" t="s">
        <v>104</v>
      </c>
      <c r="F168" s="15">
        <v>759.0</v>
      </c>
      <c r="G168" s="15">
        <f t="shared" si="0"/>
        <v>527.083333333333</v>
      </c>
      <c r="H168" s="16">
        <f t="shared" si="1"/>
        <v>0.148142292490119</v>
      </c>
      <c r="I168" s="15">
        <v>449.0</v>
      </c>
      <c r="J168" s="15">
        <v>439.0</v>
      </c>
    </row>
    <row r="169" ht="17.0">
      <c r="A169" s="1" t="s">
        <v>504</v>
      </c>
      <c r="B169" s="1" t="s">
        <v>845</v>
      </c>
      <c r="C169" s="1" t="s">
        <v>846</v>
      </c>
      <c r="D169" s="1">
        <v>1.44</v>
      </c>
      <c r="E169" s="1" t="s">
        <v>104</v>
      </c>
      <c r="F169" s="15">
        <v>759.0</v>
      </c>
      <c r="G169" s="15">
        <f t="shared" si="0"/>
        <v>527.083333333333</v>
      </c>
      <c r="H169" s="16">
        <f t="shared" si="1"/>
        <v>0.148142292490119</v>
      </c>
      <c r="I169" s="15">
        <v>449.0</v>
      </c>
      <c r="J169" s="15">
        <v>439.0</v>
      </c>
    </row>
    <row r="170" ht="17.0">
      <c r="A170" s="1" t="s">
        <v>504</v>
      </c>
      <c r="B170" s="1" t="s">
        <v>847</v>
      </c>
      <c r="C170" s="1" t="s">
        <v>848</v>
      </c>
      <c r="D170" s="1">
        <v>1.44</v>
      </c>
      <c r="E170" s="1" t="s">
        <v>104</v>
      </c>
      <c r="F170" s="15">
        <v>759.0</v>
      </c>
      <c r="G170" s="15">
        <f t="shared" si="0"/>
        <v>527.083333333333</v>
      </c>
      <c r="H170" s="16">
        <f t="shared" si="1"/>
        <v>0.148142292490119</v>
      </c>
      <c r="I170" s="15">
        <v>449.0</v>
      </c>
      <c r="J170" s="15">
        <v>439.0</v>
      </c>
    </row>
    <row r="171" ht="17.0">
      <c r="A171" s="1" t="s">
        <v>504</v>
      </c>
      <c r="B171" s="1" t="s">
        <v>849</v>
      </c>
      <c r="C171" s="1" t="s">
        <v>850</v>
      </c>
      <c r="D171" s="1">
        <v>1.44</v>
      </c>
      <c r="E171" s="1" t="s">
        <v>104</v>
      </c>
      <c r="F171" s="15">
        <v>759.0</v>
      </c>
      <c r="G171" s="15">
        <f t="shared" si="0"/>
        <v>527.083333333333</v>
      </c>
      <c r="H171" s="16">
        <f t="shared" si="1"/>
        <v>0.148142292490119</v>
      </c>
      <c r="I171" s="15">
        <v>449.0</v>
      </c>
      <c r="J171" s="15">
        <v>439.0</v>
      </c>
    </row>
    <row r="172" ht="17.0">
      <c r="A172" s="1" t="s">
        <v>504</v>
      </c>
      <c r="B172" s="1" t="s">
        <v>851</v>
      </c>
      <c r="C172" s="1" t="s">
        <v>852</v>
      </c>
      <c r="D172" s="1">
        <v>1.44</v>
      </c>
      <c r="E172" s="1" t="s">
        <v>104</v>
      </c>
      <c r="F172" s="15">
        <v>799.0</v>
      </c>
      <c r="G172" s="15">
        <f t="shared" si="0"/>
        <v>554.861111111111</v>
      </c>
      <c r="H172" s="16">
        <f t="shared" si="1"/>
        <v>0.154743429286608</v>
      </c>
      <c r="I172" s="15">
        <v>469.0</v>
      </c>
      <c r="J172" s="15">
        <v>459.0</v>
      </c>
    </row>
    <row r="173" ht="17.0">
      <c r="A173" s="1" t="s">
        <v>504</v>
      </c>
      <c r="B173" s="1" t="s">
        <v>853</v>
      </c>
      <c r="C173" s="1" t="s">
        <v>854</v>
      </c>
      <c r="D173" s="1">
        <v>1.44</v>
      </c>
      <c r="E173" s="1" t="s">
        <v>104</v>
      </c>
      <c r="F173" s="15">
        <v>779.0</v>
      </c>
      <c r="G173" s="15">
        <f t="shared" si="0"/>
        <v>540.972222222222</v>
      </c>
      <c r="H173" s="16">
        <f t="shared" si="1"/>
        <v>0.114557124518613</v>
      </c>
      <c r="I173" s="15">
        <v>479.0</v>
      </c>
      <c r="J173" s="15">
        <v>469.0</v>
      </c>
    </row>
    <row r="174" ht="17.0">
      <c r="A174" s="1" t="s">
        <v>504</v>
      </c>
      <c r="B174" s="1" t="s">
        <v>855</v>
      </c>
      <c r="C174" s="1" t="s">
        <v>856</v>
      </c>
      <c r="D174" s="1">
        <v>1.44</v>
      </c>
      <c r="E174" s="1" t="s">
        <v>104</v>
      </c>
      <c r="F174" s="15">
        <v>999.0</v>
      </c>
      <c r="G174" s="15">
        <f t="shared" si="0"/>
        <v>693.75</v>
      </c>
      <c r="H174" s="16">
        <f t="shared" si="1"/>
        <v>0.208648648648647</v>
      </c>
      <c r="I174" s="15">
        <v>549.0</v>
      </c>
      <c r="J174" s="15">
        <v>249.0</v>
      </c>
      <c r="K174" s="11" t="s">
        <v>524</v>
      </c>
    </row>
    <row r="175" ht="17.0">
      <c r="A175" s="1" t="s">
        <v>504</v>
      </c>
      <c r="B175" s="1" t="s">
        <v>857</v>
      </c>
      <c r="C175" s="1" t="s">
        <v>858</v>
      </c>
      <c r="D175" s="1">
        <v>2.79</v>
      </c>
      <c r="E175" s="1" t="s">
        <v>859</v>
      </c>
      <c r="F175" s="15">
        <v>899.0</v>
      </c>
      <c r="G175" s="15">
        <f t="shared" si="0"/>
        <v>322.222222222222</v>
      </c>
      <c r="H175" s="16">
        <f t="shared" si="1"/>
        <v>0.258275862068965</v>
      </c>
      <c r="I175" s="15">
        <v>239.0</v>
      </c>
      <c r="J175" s="15">
        <v>229.0</v>
      </c>
    </row>
    <row r="176" ht="17.0">
      <c r="A176" s="1" t="s">
        <v>504</v>
      </c>
      <c r="B176" s="1" t="s">
        <v>860</v>
      </c>
      <c r="C176" s="1" t="s">
        <v>861</v>
      </c>
      <c r="D176" s="1">
        <v>2.19</v>
      </c>
      <c r="E176" s="1" t="s">
        <v>862</v>
      </c>
      <c r="F176" s="15">
        <v>829.0</v>
      </c>
      <c r="G176" s="15">
        <f t="shared" si="0"/>
        <v>378.538812785388</v>
      </c>
      <c r="H176" s="16">
        <f t="shared" si="1"/>
        <v>0.368624849215923</v>
      </c>
      <c r="I176" s="15">
        <v>239.0</v>
      </c>
      <c r="J176" s="15">
        <v>179.0</v>
      </c>
      <c r="K176" s="11" t="s">
        <v>524</v>
      </c>
    </row>
    <row r="177" ht="17.0">
      <c r="A177" s="1" t="s">
        <v>504</v>
      </c>
      <c r="B177" s="1" t="s">
        <v>863</v>
      </c>
      <c r="C177" s="1" t="s">
        <v>864</v>
      </c>
      <c r="D177" s="1">
        <v>2.19</v>
      </c>
      <c r="E177" s="1" t="s">
        <v>862</v>
      </c>
      <c r="F177" s="15">
        <v>829.0</v>
      </c>
      <c r="G177" s="15">
        <f t="shared" si="0"/>
        <v>378.538812785388</v>
      </c>
      <c r="H177" s="16">
        <f t="shared" si="1"/>
        <v>0.368624849215923</v>
      </c>
      <c r="I177" s="15">
        <v>239.0</v>
      </c>
      <c r="J177" s="15">
        <v>229.0</v>
      </c>
    </row>
    <row r="178" ht="17.0">
      <c r="A178" s="1" t="s">
        <v>504</v>
      </c>
      <c r="B178" s="1" t="s">
        <v>865</v>
      </c>
      <c r="C178" s="1" t="s">
        <v>866</v>
      </c>
      <c r="D178" s="1">
        <v>2.25</v>
      </c>
      <c r="E178" s="1" t="s">
        <v>867</v>
      </c>
      <c r="F178" s="15">
        <v>1699.0</v>
      </c>
      <c r="G178" s="15">
        <f t="shared" si="0"/>
        <v>755.111111111111</v>
      </c>
      <c r="H178" s="16">
        <f t="shared" si="1"/>
        <v>0.405385520894643</v>
      </c>
      <c r="I178" s="15">
        <v>449.0</v>
      </c>
      <c r="J178" s="15">
        <v>339.0</v>
      </c>
      <c r="K178" s="11" t="s">
        <v>524</v>
      </c>
    </row>
    <row r="179" ht="17.0">
      <c r="A179" s="1" t="s">
        <v>504</v>
      </c>
      <c r="B179" s="1" t="s">
        <v>868</v>
      </c>
      <c r="C179" s="1" t="s">
        <v>869</v>
      </c>
      <c r="D179" s="1">
        <v>2.25</v>
      </c>
      <c r="E179" s="1" t="s">
        <v>867</v>
      </c>
      <c r="F179" s="15">
        <v>1699.0</v>
      </c>
      <c r="G179" s="15">
        <f t="shared" si="0"/>
        <v>755.111111111111</v>
      </c>
      <c r="H179" s="16">
        <f t="shared" si="1"/>
        <v>0.180253090052971</v>
      </c>
      <c r="I179" s="15">
        <v>619.0</v>
      </c>
      <c r="J179" s="15">
        <v>609.0</v>
      </c>
    </row>
    <row r="180" ht="17.0">
      <c r="A180" s="1" t="s">
        <v>504</v>
      </c>
      <c r="B180" s="1" t="s">
        <v>870</v>
      </c>
      <c r="C180" s="1" t="s">
        <v>871</v>
      </c>
      <c r="D180" s="1">
        <v>2.25</v>
      </c>
      <c r="E180" s="1" t="s">
        <v>867</v>
      </c>
      <c r="F180" s="15">
        <v>1699.0</v>
      </c>
      <c r="G180" s="15">
        <f t="shared" si="0"/>
        <v>755.111111111111</v>
      </c>
      <c r="H180" s="16">
        <f t="shared" si="1"/>
        <v>0.180253090052971</v>
      </c>
      <c r="I180" s="15">
        <v>619.0</v>
      </c>
      <c r="J180" s="15">
        <v>339.0</v>
      </c>
      <c r="K180" s="11" t="s">
        <v>524</v>
      </c>
    </row>
    <row r="181" ht="17.0">
      <c r="A181" s="1" t="s">
        <v>504</v>
      </c>
      <c r="B181" s="1" t="s">
        <v>872</v>
      </c>
      <c r="C181" s="1" t="s">
        <v>873</v>
      </c>
      <c r="D181" s="1">
        <v>2.25</v>
      </c>
      <c r="E181" s="1" t="s">
        <v>867</v>
      </c>
      <c r="F181" s="15">
        <v>1699.0</v>
      </c>
      <c r="G181" s="15">
        <f t="shared" si="0"/>
        <v>755.111111111111</v>
      </c>
      <c r="H181" s="16">
        <f t="shared" si="1"/>
        <v>0.180253090052971</v>
      </c>
      <c r="I181" s="15">
        <v>619.0</v>
      </c>
      <c r="J181" s="15">
        <v>339.0</v>
      </c>
      <c r="K181" s="11" t="s">
        <v>524</v>
      </c>
    </row>
    <row r="182" ht="17.0">
      <c r="A182" s="1" t="s">
        <v>504</v>
      </c>
      <c r="B182" s="1" t="s">
        <v>874</v>
      </c>
      <c r="C182" s="1" t="s">
        <v>875</v>
      </c>
      <c r="D182" s="1">
        <v>2.25</v>
      </c>
      <c r="E182" s="1" t="s">
        <v>867</v>
      </c>
      <c r="F182" s="15">
        <v>1699.0</v>
      </c>
      <c r="G182" s="15">
        <f t="shared" si="0"/>
        <v>755.111111111111</v>
      </c>
      <c r="H182" s="16">
        <f t="shared" si="1"/>
        <v>0.180253090052971</v>
      </c>
      <c r="I182" s="15">
        <v>619.0</v>
      </c>
      <c r="J182" s="15">
        <v>599.0</v>
      </c>
    </row>
    <row r="183" ht="17.0">
      <c r="A183" s="1" t="s">
        <v>504</v>
      </c>
      <c r="B183" s="1" t="s">
        <v>876</v>
      </c>
      <c r="C183" s="1" t="s">
        <v>877</v>
      </c>
      <c r="D183" s="1">
        <v>2.25</v>
      </c>
      <c r="E183" s="1" t="s">
        <v>867</v>
      </c>
      <c r="F183" s="15">
        <v>1699.0</v>
      </c>
      <c r="G183" s="15">
        <f t="shared" si="0"/>
        <v>755.111111111111</v>
      </c>
      <c r="H183" s="16">
        <f t="shared" si="1"/>
        <v>0.180253090052971</v>
      </c>
      <c r="I183" s="15">
        <v>619.0</v>
      </c>
      <c r="J183" s="15">
        <v>599.0</v>
      </c>
    </row>
    <row r="184" ht="17.0">
      <c r="A184" s="1" t="s">
        <v>504</v>
      </c>
      <c r="B184" s="1" t="s">
        <v>878</v>
      </c>
      <c r="C184" s="1" t="s">
        <v>879</v>
      </c>
      <c r="D184" s="1">
        <v>2.25</v>
      </c>
      <c r="E184" s="1" t="s">
        <v>867</v>
      </c>
      <c r="F184" s="15">
        <v>1808.66</v>
      </c>
      <c r="G184" s="15">
        <f t="shared" si="0"/>
        <v>803.848888888889</v>
      </c>
      <c r="H184" s="16">
        <f t="shared" si="1"/>
        <v>0.130433580661927</v>
      </c>
      <c r="I184" s="15">
        <v>699.0</v>
      </c>
      <c r="J184" s="15">
        <v>689.0</v>
      </c>
    </row>
    <row r="185" ht="17.0">
      <c r="A185" s="1" t="s">
        <v>504</v>
      </c>
      <c r="B185" s="1" t="s">
        <v>880</v>
      </c>
      <c r="C185" s="1" t="s">
        <v>881</v>
      </c>
      <c r="D185" s="1">
        <v>2.56</v>
      </c>
      <c r="E185" s="1" t="s">
        <v>882</v>
      </c>
      <c r="F185" s="15">
        <v>2327.0</v>
      </c>
      <c r="G185" s="15">
        <f t="shared" si="0"/>
        <v>908.984375</v>
      </c>
      <c r="H185" s="16">
        <f t="shared" si="1"/>
        <v>0.451035668242371</v>
      </c>
      <c r="I185" s="15">
        <v>499.0</v>
      </c>
      <c r="J185" s="15">
        <v>349.0</v>
      </c>
      <c r="K185" s="11" t="s">
        <v>524</v>
      </c>
    </row>
    <row r="186" ht="17.0">
      <c r="A186" s="1" t="s">
        <v>504</v>
      </c>
      <c r="B186" s="1" t="s">
        <v>883</v>
      </c>
      <c r="C186" s="1" t="s">
        <v>884</v>
      </c>
      <c r="D186" s="1">
        <v>2.56</v>
      </c>
      <c r="E186" s="1" t="s">
        <v>882</v>
      </c>
      <c r="F186" s="15">
        <v>2587.0</v>
      </c>
      <c r="G186" s="15">
        <f t="shared" si="0"/>
        <v>1010.546875</v>
      </c>
      <c r="H186" s="16">
        <f t="shared" si="1"/>
        <v>0.50620796289138</v>
      </c>
      <c r="I186" s="15">
        <v>499.0</v>
      </c>
      <c r="J186" s="15">
        <v>349.0</v>
      </c>
      <c r="K186" s="11" t="s">
        <v>524</v>
      </c>
    </row>
    <row r="187" ht="17.0">
      <c r="A187" s="1" t="s">
        <v>504</v>
      </c>
      <c r="B187" s="1" t="s">
        <v>885</v>
      </c>
      <c r="C187" s="1" t="s">
        <v>886</v>
      </c>
      <c r="D187" s="1">
        <v>2.56</v>
      </c>
      <c r="E187" s="1" t="s">
        <v>882</v>
      </c>
      <c r="F187" s="15">
        <v>2067.0</v>
      </c>
      <c r="G187" s="15">
        <f t="shared" si="0"/>
        <v>807.421875</v>
      </c>
      <c r="H187" s="16">
        <f t="shared" si="1"/>
        <v>0.282902757619739</v>
      </c>
      <c r="I187" s="15">
        <v>579.0</v>
      </c>
    </row>
    <row r="188" ht="17.0">
      <c r="A188" s="1" t="s">
        <v>504</v>
      </c>
      <c r="B188" s="1" t="s">
        <v>887</v>
      </c>
      <c r="C188" s="1" t="s">
        <v>888</v>
      </c>
      <c r="D188" s="1">
        <v>2.56</v>
      </c>
      <c r="E188" s="1" t="s">
        <v>882</v>
      </c>
      <c r="F188" s="15">
        <v>2067.0</v>
      </c>
      <c r="G188" s="15">
        <f t="shared" si="0"/>
        <v>807.421875</v>
      </c>
      <c r="H188" s="16">
        <f t="shared" si="1"/>
        <v>0.282902757619739</v>
      </c>
      <c r="I188" s="15">
        <v>579.0</v>
      </c>
    </row>
    <row r="189" ht="17.0">
      <c r="A189" s="1" t="s">
        <v>504</v>
      </c>
      <c r="B189" s="1" t="s">
        <v>889</v>
      </c>
      <c r="C189" s="1" t="s">
        <v>890</v>
      </c>
      <c r="D189" s="1">
        <v>2.56</v>
      </c>
      <c r="E189" s="1" t="s">
        <v>882</v>
      </c>
      <c r="F189" s="15">
        <v>2067.0</v>
      </c>
      <c r="G189" s="15">
        <f t="shared" si="0"/>
        <v>807.421875</v>
      </c>
      <c r="H189" s="16">
        <f t="shared" si="1"/>
        <v>0.282902757619739</v>
      </c>
      <c r="I189" s="15">
        <v>579.0</v>
      </c>
    </row>
    <row r="190" ht="17.0">
      <c r="A190" s="1" t="s">
        <v>504</v>
      </c>
      <c r="B190" s="1" t="s">
        <v>891</v>
      </c>
      <c r="C190" s="1" t="s">
        <v>892</v>
      </c>
      <c r="D190" s="1">
        <v>2.56</v>
      </c>
      <c r="E190" s="1" t="s">
        <v>882</v>
      </c>
      <c r="F190" s="15">
        <v>2327.0</v>
      </c>
      <c r="G190" s="15">
        <f t="shared" si="0"/>
        <v>908.984375</v>
      </c>
      <c r="H190" s="16">
        <f t="shared" si="1"/>
        <v>0.297017619252257</v>
      </c>
      <c r="I190" s="15">
        <v>639.0</v>
      </c>
    </row>
    <row r="191" ht="17.0">
      <c r="A191" s="1" t="s">
        <v>504</v>
      </c>
      <c r="B191" s="1" t="s">
        <v>893</v>
      </c>
      <c r="C191" s="1" t="s">
        <v>894</v>
      </c>
      <c r="D191" s="1">
        <v>2.56</v>
      </c>
      <c r="E191" s="1" t="s">
        <v>882</v>
      </c>
      <c r="F191" s="15">
        <v>2327.0</v>
      </c>
      <c r="G191" s="15">
        <f t="shared" si="0"/>
        <v>908.984375</v>
      </c>
      <c r="H191" s="16">
        <f t="shared" si="1"/>
        <v>0.297017619252257</v>
      </c>
      <c r="I191" s="15">
        <v>639.0</v>
      </c>
    </row>
    <row r="192" ht="17.0">
      <c r="A192" s="1" t="s">
        <v>504</v>
      </c>
      <c r="B192" s="1" t="s">
        <v>895</v>
      </c>
      <c r="C192" s="1" t="s">
        <v>896</v>
      </c>
      <c r="D192" s="1">
        <v>2.56</v>
      </c>
      <c r="E192" s="1" t="s">
        <v>882</v>
      </c>
      <c r="F192" s="15">
        <v>2327.0</v>
      </c>
      <c r="G192" s="15">
        <f t="shared" si="0"/>
        <v>908.984375</v>
      </c>
      <c r="H192" s="16">
        <f t="shared" si="1"/>
        <v>0.297017619252257</v>
      </c>
      <c r="I192" s="15">
        <v>639.0</v>
      </c>
    </row>
    <row r="193" ht="17.0">
      <c r="A193" s="1" t="s">
        <v>504</v>
      </c>
      <c r="B193" s="1" t="s">
        <v>897</v>
      </c>
      <c r="C193" s="1" t="s">
        <v>898</v>
      </c>
      <c r="D193" s="1">
        <v>2.56</v>
      </c>
      <c r="E193" s="1" t="s">
        <v>882</v>
      </c>
      <c r="F193" s="15">
        <v>2327.0</v>
      </c>
      <c r="G193" s="15">
        <f t="shared" si="0"/>
        <v>908.984375</v>
      </c>
      <c r="H193" s="16">
        <f t="shared" si="1"/>
        <v>0.297017619252257</v>
      </c>
      <c r="I193" s="15">
        <v>639.0</v>
      </c>
    </row>
    <row r="194" ht="17.0">
      <c r="A194" s="1" t="s">
        <v>504</v>
      </c>
      <c r="B194" s="1" t="s">
        <v>899</v>
      </c>
      <c r="C194" s="1" t="s">
        <v>900</v>
      </c>
      <c r="D194" s="1">
        <v>2.56</v>
      </c>
      <c r="E194" s="1" t="s">
        <v>882</v>
      </c>
      <c r="F194" s="15">
        <v>2327.0</v>
      </c>
      <c r="G194" s="15">
        <f t="shared" si="0"/>
        <v>908.984375</v>
      </c>
      <c r="H194" s="16">
        <f t="shared" si="1"/>
        <v>0.297017619252257</v>
      </c>
      <c r="I194" s="15">
        <v>639.0</v>
      </c>
    </row>
    <row r="195" ht="17.0">
      <c r="A195" s="1" t="s">
        <v>504</v>
      </c>
      <c r="B195" s="1" t="s">
        <v>901</v>
      </c>
      <c r="C195" s="1" t="s">
        <v>902</v>
      </c>
      <c r="D195" s="1">
        <v>2.56</v>
      </c>
      <c r="E195" s="1" t="s">
        <v>882</v>
      </c>
      <c r="F195" s="15">
        <v>2327.0</v>
      </c>
      <c r="G195" s="15">
        <f t="shared" si="0"/>
        <v>908.984375</v>
      </c>
      <c r="H195" s="16">
        <f t="shared" si="1"/>
        <v>0.297017619252257</v>
      </c>
      <c r="I195" s="15">
        <v>639.0</v>
      </c>
    </row>
    <row r="196" ht="17.0">
      <c r="A196" s="1" t="s">
        <v>504</v>
      </c>
      <c r="B196" s="1" t="s">
        <v>903</v>
      </c>
      <c r="C196" s="1" t="s">
        <v>904</v>
      </c>
      <c r="D196" s="1">
        <v>2.56</v>
      </c>
      <c r="E196" s="1" t="s">
        <v>882</v>
      </c>
      <c r="F196" s="15">
        <v>2327.0</v>
      </c>
      <c r="G196" s="15">
        <f t="shared" si="0"/>
        <v>908.984375</v>
      </c>
      <c r="H196" s="16">
        <f t="shared" si="1"/>
        <v>0.297017619252257</v>
      </c>
      <c r="I196" s="15">
        <v>639.0</v>
      </c>
    </row>
    <row r="197" ht="17.0">
      <c r="A197" s="1" t="s">
        <v>504</v>
      </c>
      <c r="B197" s="1" t="s">
        <v>891</v>
      </c>
      <c r="C197" s="1" t="s">
        <v>892</v>
      </c>
      <c r="D197" s="1">
        <v>2.56</v>
      </c>
      <c r="E197" s="1" t="s">
        <v>882</v>
      </c>
      <c r="F197" s="15">
        <v>2327.0</v>
      </c>
      <c r="G197" s="15">
        <f t="shared" si="0"/>
        <v>908.984375</v>
      </c>
      <c r="H197" s="16">
        <f t="shared" si="1"/>
        <v>0.297017619252257</v>
      </c>
      <c r="I197" s="15">
        <v>639.0</v>
      </c>
    </row>
    <row r="198" ht="17.0">
      <c r="A198" s="1" t="s">
        <v>504</v>
      </c>
      <c r="B198" s="1" t="s">
        <v>893</v>
      </c>
      <c r="C198" s="1" t="s">
        <v>894</v>
      </c>
      <c r="D198" s="1">
        <v>2.56</v>
      </c>
      <c r="E198" s="1" t="s">
        <v>882</v>
      </c>
      <c r="F198" s="15">
        <v>2327.0</v>
      </c>
      <c r="G198" s="15">
        <f t="shared" si="0"/>
        <v>908.984375</v>
      </c>
      <c r="H198" s="16">
        <f t="shared" si="1"/>
        <v>0.297017619252257</v>
      </c>
      <c r="I198" s="15">
        <v>639.0</v>
      </c>
    </row>
    <row r="199" ht="17.0">
      <c r="A199" s="1" t="s">
        <v>504</v>
      </c>
      <c r="B199" s="1" t="s">
        <v>905</v>
      </c>
      <c r="C199" s="1" t="s">
        <v>906</v>
      </c>
      <c r="D199" s="1">
        <v>2.56</v>
      </c>
      <c r="E199" s="1" t="s">
        <v>882</v>
      </c>
      <c r="F199" s="15">
        <v>2587.0</v>
      </c>
      <c r="G199" s="15">
        <f t="shared" si="0"/>
        <v>1010.546875</v>
      </c>
      <c r="H199" s="16">
        <f t="shared" si="1"/>
        <v>0.31819095477387</v>
      </c>
      <c r="I199" s="15">
        <v>689.0</v>
      </c>
    </row>
    <row r="200" ht="17.0">
      <c r="A200" s="1" t="s">
        <v>504</v>
      </c>
      <c r="B200" s="1" t="s">
        <v>907</v>
      </c>
      <c r="C200" s="1" t="s">
        <v>908</v>
      </c>
      <c r="D200" s="1">
        <v>2.56</v>
      </c>
      <c r="E200" s="1" t="s">
        <v>882</v>
      </c>
      <c r="F200" s="15">
        <v>2587.0</v>
      </c>
      <c r="G200" s="15">
        <f t="shared" si="0"/>
        <v>1010.546875</v>
      </c>
      <c r="H200" s="16">
        <f t="shared" si="1"/>
        <v>0.31819095477387</v>
      </c>
      <c r="I200" s="15">
        <v>689.0</v>
      </c>
    </row>
    <row r="201" ht="17.0">
      <c r="A201" s="1" t="s">
        <v>504</v>
      </c>
      <c r="B201" s="1" t="s">
        <v>909</v>
      </c>
      <c r="C201" s="1" t="s">
        <v>910</v>
      </c>
      <c r="D201" s="1">
        <v>1.92</v>
      </c>
      <c r="E201" s="1" t="s">
        <v>911</v>
      </c>
      <c r="F201" s="15">
        <v>999.0</v>
      </c>
      <c r="G201" s="15">
        <f t="shared" si="0"/>
        <v>520.3125</v>
      </c>
      <c r="H201" s="16">
        <f t="shared" si="1"/>
        <v>0.29081081081081</v>
      </c>
      <c r="I201" s="15">
        <v>369.0</v>
      </c>
    </row>
    <row r="202" ht="17.0">
      <c r="A202" s="1" t="s">
        <v>504</v>
      </c>
      <c r="B202" s="1" t="s">
        <v>912</v>
      </c>
      <c r="C202" s="1" t="s">
        <v>913</v>
      </c>
      <c r="D202" s="1">
        <v>1.92</v>
      </c>
      <c r="E202" s="1" t="s">
        <v>911</v>
      </c>
      <c r="F202" s="15">
        <v>999.0</v>
      </c>
      <c r="G202" s="15">
        <f t="shared" si="0"/>
        <v>520.3125</v>
      </c>
      <c r="H202" s="16">
        <f t="shared" si="1"/>
        <v>0.213933933933934</v>
      </c>
      <c r="I202" s="15">
        <v>409.0</v>
      </c>
    </row>
    <row r="203" ht="17.0">
      <c r="A203" s="1" t="s">
        <v>504</v>
      </c>
      <c r="B203" s="1" t="s">
        <v>914</v>
      </c>
      <c r="C203" s="1" t="s">
        <v>915</v>
      </c>
      <c r="D203" s="1">
        <v>1.62</v>
      </c>
      <c r="E203" s="1" t="s">
        <v>916</v>
      </c>
      <c r="F203" s="15">
        <v>1807.0</v>
      </c>
      <c r="G203" s="15">
        <f t="shared" si="0"/>
        <v>1115.43209876543</v>
      </c>
      <c r="H203" s="16">
        <f t="shared" si="1"/>
        <v>0.418162700608743</v>
      </c>
      <c r="I203" s="15">
        <v>649.0</v>
      </c>
    </row>
    <row r="204" ht="17.0">
      <c r="A204" s="1" t="s">
        <v>504</v>
      </c>
      <c r="B204" s="1" t="s">
        <v>917</v>
      </c>
      <c r="C204" s="1" t="s">
        <v>918</v>
      </c>
      <c r="D204" s="1">
        <v>1.62</v>
      </c>
      <c r="E204" s="1" t="s">
        <v>916</v>
      </c>
      <c r="F204" s="15">
        <v>1807.0</v>
      </c>
      <c r="G204" s="15">
        <f t="shared" si="0"/>
        <v>1115.43209876543</v>
      </c>
      <c r="H204" s="16">
        <f t="shared" si="1"/>
        <v>0.418162700608743</v>
      </c>
      <c r="I204" s="15">
        <v>649.0</v>
      </c>
    </row>
    <row r="205" ht="17.0">
      <c r="A205" s="1" t="s">
        <v>504</v>
      </c>
      <c r="B205" s="1" t="s">
        <v>919</v>
      </c>
      <c r="C205" s="1" t="s">
        <v>920</v>
      </c>
      <c r="D205" s="1">
        <v>3.24</v>
      </c>
      <c r="E205" s="1" t="s">
        <v>916</v>
      </c>
      <c r="F205" s="15">
        <v>3614.0</v>
      </c>
      <c r="G205" s="15">
        <f t="shared" si="0"/>
        <v>1115.43209876543</v>
      </c>
      <c r="H205" s="16">
        <f t="shared" si="1"/>
        <v>0.418162700608743</v>
      </c>
      <c r="I205" s="15">
        <v>649.0</v>
      </c>
    </row>
    <row r="206" ht="17.0">
      <c r="A206" s="1" t="s">
        <v>504</v>
      </c>
      <c r="B206" s="1" t="s">
        <v>921</v>
      </c>
      <c r="C206" s="1" t="s">
        <v>922</v>
      </c>
      <c r="D206" s="1">
        <v>1.62</v>
      </c>
      <c r="E206" s="1" t="s">
        <v>916</v>
      </c>
      <c r="F206" s="15">
        <v>1807.0</v>
      </c>
      <c r="G206" s="15">
        <f t="shared" si="0"/>
        <v>1115.43209876543</v>
      </c>
      <c r="H206" s="16">
        <f t="shared" si="1"/>
        <v>0.418162700608743</v>
      </c>
      <c r="I206" s="15">
        <v>649.0</v>
      </c>
    </row>
    <row r="207" ht="17.0">
      <c r="A207" s="1" t="s">
        <v>504</v>
      </c>
      <c r="B207" s="1" t="s">
        <v>923</v>
      </c>
      <c r="C207" s="1" t="s">
        <v>924</v>
      </c>
      <c r="D207" s="1">
        <v>3.24</v>
      </c>
      <c r="E207" s="1" t="s">
        <v>916</v>
      </c>
      <c r="F207" s="15">
        <v>3614.0</v>
      </c>
      <c r="G207" s="15">
        <f t="shared" si="0"/>
        <v>1115.43209876543</v>
      </c>
      <c r="H207" s="16">
        <f t="shared" si="1"/>
        <v>0.418162700608743</v>
      </c>
      <c r="I207" s="15">
        <v>649.0</v>
      </c>
    </row>
    <row r="208" ht="17.0">
      <c r="A208" s="1" t="s">
        <v>504</v>
      </c>
      <c r="B208" s="1" t="s">
        <v>925</v>
      </c>
      <c r="C208" s="1" t="s">
        <v>926</v>
      </c>
      <c r="D208" s="1">
        <v>1.62</v>
      </c>
      <c r="E208" s="1" t="s">
        <v>916</v>
      </c>
      <c r="F208" s="15">
        <v>1807.0</v>
      </c>
      <c r="G208" s="15">
        <f t="shared" si="0"/>
        <v>1115.43209876543</v>
      </c>
      <c r="H208" s="16">
        <f t="shared" si="1"/>
        <v>0.418162700608743</v>
      </c>
      <c r="I208" s="15">
        <v>649.0</v>
      </c>
    </row>
    <row r="209" ht="17.0">
      <c r="A209" s="1" t="s">
        <v>504</v>
      </c>
      <c r="B209" s="1" t="s">
        <v>927</v>
      </c>
      <c r="C209" s="1" t="s">
        <v>928</v>
      </c>
      <c r="D209" s="1">
        <v>1.62</v>
      </c>
      <c r="E209" s="1" t="s">
        <v>916</v>
      </c>
      <c r="F209" s="15">
        <v>1807.0</v>
      </c>
      <c r="G209" s="15">
        <f t="shared" si="0"/>
        <v>1115.43209876543</v>
      </c>
      <c r="H209" s="16">
        <f t="shared" si="1"/>
        <v>0.418162700608743</v>
      </c>
      <c r="I209" s="15">
        <v>649.0</v>
      </c>
    </row>
    <row r="210" ht="17.0">
      <c r="A210" s="1" t="s">
        <v>504</v>
      </c>
      <c r="B210" s="1" t="s">
        <v>929</v>
      </c>
      <c r="C210" s="1" t="s">
        <v>930</v>
      </c>
      <c r="D210" s="1">
        <v>1.62</v>
      </c>
      <c r="E210" s="1" t="s">
        <v>916</v>
      </c>
      <c r="F210" s="15">
        <v>1807.0</v>
      </c>
      <c r="G210" s="15">
        <f t="shared" si="0"/>
        <v>1115.43209876543</v>
      </c>
      <c r="H210" s="16">
        <f t="shared" si="1"/>
        <v>0.418162700608743</v>
      </c>
      <c r="I210" s="15">
        <v>649.0</v>
      </c>
    </row>
    <row r="211" ht="17.0">
      <c r="A211" s="1" t="s">
        <v>504</v>
      </c>
      <c r="B211" s="1" t="s">
        <v>931</v>
      </c>
      <c r="C211" s="1" t="s">
        <v>932</v>
      </c>
      <c r="D211" s="1">
        <v>1.62</v>
      </c>
      <c r="E211" s="1" t="s">
        <v>916</v>
      </c>
      <c r="F211" s="15">
        <v>1807.0</v>
      </c>
      <c r="G211" s="15">
        <f t="shared" si="0"/>
        <v>1115.43209876543</v>
      </c>
      <c r="H211" s="16">
        <f t="shared" si="1"/>
        <v>0.337476480354177</v>
      </c>
      <c r="I211" s="15">
        <v>739.0</v>
      </c>
    </row>
    <row r="212" ht="17.0">
      <c r="A212" s="1" t="s">
        <v>504</v>
      </c>
      <c r="B212" s="1" t="s">
        <v>933</v>
      </c>
      <c r="C212" s="1" t="s">
        <v>934</v>
      </c>
      <c r="D212" s="1">
        <v>1.62</v>
      </c>
      <c r="E212" s="1" t="s">
        <v>916</v>
      </c>
      <c r="F212" s="15">
        <v>1807.0</v>
      </c>
      <c r="G212" s="15">
        <f t="shared" si="0"/>
        <v>1115.43209876543</v>
      </c>
      <c r="H212" s="16">
        <f t="shared" si="1"/>
        <v>0.337476480354177</v>
      </c>
      <c r="I212" s="15">
        <v>739.0</v>
      </c>
    </row>
    <row r="213" ht="17.0">
      <c r="A213" s="1" t="s">
        <v>504</v>
      </c>
      <c r="B213" s="1" t="s">
        <v>935</v>
      </c>
      <c r="C213" s="1" t="s">
        <v>936</v>
      </c>
      <c r="D213" s="1">
        <v>3.24</v>
      </c>
      <c r="E213" s="1" t="s">
        <v>916</v>
      </c>
      <c r="F213" s="15">
        <v>3770.0</v>
      </c>
      <c r="G213" s="15">
        <f t="shared" si="0"/>
        <v>1163.58024691358</v>
      </c>
      <c r="H213" s="16">
        <f t="shared" si="1"/>
        <v>0.313326259946948</v>
      </c>
      <c r="I213" s="15">
        <v>799.0</v>
      </c>
    </row>
    <row r="214" ht="17.0">
      <c r="A214" s="1" t="s">
        <v>504</v>
      </c>
      <c r="B214" s="1" t="s">
        <v>937</v>
      </c>
      <c r="C214" s="1" t="s">
        <v>938</v>
      </c>
      <c r="D214" s="1">
        <v>1.0</v>
      </c>
      <c r="E214" s="1" t="s">
        <v>939</v>
      </c>
      <c r="F214" s="15">
        <v>549.0</v>
      </c>
      <c r="G214" s="15">
        <f t="shared" si="0"/>
        <v>549.0</v>
      </c>
      <c r="H214" s="16">
        <f t="shared" si="1"/>
        <v>0.710382513661202</v>
      </c>
      <c r="I214" s="15">
        <v>159.0</v>
      </c>
    </row>
    <row r="215" ht="17.0">
      <c r="A215" s="1" t="s">
        <v>504</v>
      </c>
      <c r="B215" s="1" t="s">
        <v>940</v>
      </c>
      <c r="C215" s="1" t="s">
        <v>941</v>
      </c>
      <c r="D215" s="1">
        <v>1.0</v>
      </c>
      <c r="E215" s="1" t="s">
        <v>939</v>
      </c>
      <c r="F215" s="15">
        <v>549.0</v>
      </c>
      <c r="G215" s="15">
        <f t="shared" si="0"/>
        <v>549.0</v>
      </c>
      <c r="H215" s="16">
        <f t="shared" si="1"/>
        <v>0.710382513661202</v>
      </c>
      <c r="I215" s="15">
        <v>159.0</v>
      </c>
    </row>
    <row r="216" ht="17.0">
      <c r="A216" s="1" t="s">
        <v>504</v>
      </c>
      <c r="B216" s="1" t="s">
        <v>942</v>
      </c>
      <c r="C216" s="1" t="s">
        <v>943</v>
      </c>
      <c r="D216" s="1">
        <v>1.0</v>
      </c>
      <c r="E216" s="1" t="s">
        <v>939</v>
      </c>
      <c r="F216" s="15">
        <v>549.0</v>
      </c>
      <c r="G216" s="15">
        <f t="shared" si="0"/>
        <v>549.0</v>
      </c>
      <c r="H216" s="16">
        <f t="shared" si="1"/>
        <v>0.710382513661202</v>
      </c>
      <c r="I216" s="15">
        <v>159.0</v>
      </c>
    </row>
    <row r="217" ht="17.0">
      <c r="A217" s="1" t="s">
        <v>504</v>
      </c>
      <c r="B217" s="1" t="s">
        <v>944</v>
      </c>
      <c r="C217" s="1" t="s">
        <v>945</v>
      </c>
      <c r="D217" s="1">
        <v>1.0</v>
      </c>
      <c r="E217" s="1" t="s">
        <v>939</v>
      </c>
      <c r="F217" s="15">
        <v>549.0</v>
      </c>
      <c r="G217" s="15">
        <f t="shared" si="0"/>
        <v>549.0</v>
      </c>
      <c r="H217" s="16">
        <f t="shared" si="1"/>
        <v>0.710382513661202</v>
      </c>
      <c r="I217" s="15">
        <v>159.0</v>
      </c>
    </row>
    <row r="218" ht="17.0">
      <c r="A218" s="1" t="s">
        <v>504</v>
      </c>
      <c r="B218" s="1" t="s">
        <v>946</v>
      </c>
      <c r="C218" s="1" t="s">
        <v>947</v>
      </c>
      <c r="D218" s="1">
        <v>1.0</v>
      </c>
      <c r="E218" s="1" t="s">
        <v>939</v>
      </c>
      <c r="F218" s="15">
        <v>549.0</v>
      </c>
      <c r="G218" s="15">
        <f t="shared" si="0"/>
        <v>549.0</v>
      </c>
      <c r="H218" s="16">
        <f t="shared" si="1"/>
        <v>0.710382513661202</v>
      </c>
      <c r="I218" s="15">
        <v>159.0</v>
      </c>
    </row>
    <row r="219" ht="17.0">
      <c r="A219" s="1" t="s">
        <v>504</v>
      </c>
      <c r="B219" s="1" t="s">
        <v>948</v>
      </c>
      <c r="C219" s="1" t="s">
        <v>949</v>
      </c>
      <c r="D219" s="1">
        <v>1.0</v>
      </c>
      <c r="E219" s="1" t="s">
        <v>939</v>
      </c>
      <c r="F219" s="15">
        <v>549.0</v>
      </c>
      <c r="G219" s="15">
        <f t="shared" si="0"/>
        <v>549.0</v>
      </c>
      <c r="H219" s="16">
        <f t="shared" si="1"/>
        <v>0.710382513661202</v>
      </c>
      <c r="I219" s="15">
        <v>159.0</v>
      </c>
    </row>
    <row r="220" ht="17.0">
      <c r="A220" s="1" t="s">
        <v>504</v>
      </c>
      <c r="B220" s="1" t="s">
        <v>950</v>
      </c>
      <c r="C220" s="1" t="s">
        <v>951</v>
      </c>
      <c r="D220" s="1">
        <v>1.0</v>
      </c>
      <c r="E220" s="1" t="s">
        <v>939</v>
      </c>
      <c r="F220" s="15">
        <v>549.0</v>
      </c>
      <c r="G220" s="15">
        <f t="shared" si="0"/>
        <v>549.0</v>
      </c>
      <c r="H220" s="16">
        <f t="shared" si="1"/>
        <v>0.710382513661202</v>
      </c>
      <c r="I220" s="15">
        <v>159.0</v>
      </c>
    </row>
    <row r="221" ht="17.0">
      <c r="A221" s="1" t="s">
        <v>504</v>
      </c>
      <c r="B221" s="1" t="s">
        <v>952</v>
      </c>
      <c r="C221" s="1" t="s">
        <v>953</v>
      </c>
      <c r="D221" s="1">
        <v>1.0</v>
      </c>
      <c r="E221" s="1" t="s">
        <v>939</v>
      </c>
      <c r="F221" s="15">
        <v>549.0</v>
      </c>
      <c r="G221" s="15">
        <f t="shared" si="0"/>
        <v>549.0</v>
      </c>
      <c r="H221" s="16">
        <f t="shared" si="1"/>
        <v>0.710382513661202</v>
      </c>
      <c r="I221" s="15">
        <v>159.0</v>
      </c>
    </row>
    <row r="222" ht="17.0">
      <c r="A222" s="1" t="s">
        <v>504</v>
      </c>
      <c r="B222" s="1" t="s">
        <v>954</v>
      </c>
      <c r="C222" s="1" t="s">
        <v>955</v>
      </c>
      <c r="D222" s="1">
        <v>1.0</v>
      </c>
      <c r="E222" s="1" t="s">
        <v>939</v>
      </c>
      <c r="F222" s="15">
        <v>549.0</v>
      </c>
      <c r="G222" s="15">
        <f t="shared" si="0"/>
        <v>549.0</v>
      </c>
      <c r="H222" s="16">
        <f t="shared" si="1"/>
        <v>0.710382513661202</v>
      </c>
      <c r="I222" s="15">
        <v>159.0</v>
      </c>
    </row>
    <row r="223" ht="17.0">
      <c r="A223" s="1" t="s">
        <v>504</v>
      </c>
      <c r="B223" s="1" t="s">
        <v>956</v>
      </c>
      <c r="C223" s="1" t="s">
        <v>957</v>
      </c>
      <c r="D223" s="1">
        <v>1.0</v>
      </c>
      <c r="E223" s="1" t="s">
        <v>939</v>
      </c>
      <c r="F223" s="15">
        <v>549.0</v>
      </c>
      <c r="G223" s="15">
        <f t="shared" si="0"/>
        <v>549.0</v>
      </c>
      <c r="H223" s="16">
        <f t="shared" si="1"/>
        <v>0.710382513661202</v>
      </c>
      <c r="I223" s="15">
        <v>159.0</v>
      </c>
    </row>
    <row r="224" ht="17.0">
      <c r="A224" s="1" t="s">
        <v>504</v>
      </c>
      <c r="B224" s="1" t="s">
        <v>958</v>
      </c>
      <c r="C224" s="1" t="s">
        <v>959</v>
      </c>
      <c r="D224" s="1">
        <v>1.0</v>
      </c>
      <c r="E224" s="1" t="s">
        <v>939</v>
      </c>
      <c r="F224" s="15">
        <v>549.0</v>
      </c>
      <c r="G224" s="15">
        <f t="shared" si="0"/>
        <v>549.0</v>
      </c>
      <c r="H224" s="16">
        <f t="shared" si="1"/>
        <v>0.710382513661202</v>
      </c>
      <c r="I224" s="15">
        <v>159.0</v>
      </c>
    </row>
    <row r="225" ht="17.0">
      <c r="A225" s="1" t="s">
        <v>504</v>
      </c>
      <c r="B225" s="1" t="s">
        <v>960</v>
      </c>
      <c r="C225" s="1" t="s">
        <v>961</v>
      </c>
      <c r="D225" s="1">
        <v>1.0</v>
      </c>
      <c r="E225" s="1" t="s">
        <v>939</v>
      </c>
      <c r="F225" s="15">
        <v>599.0</v>
      </c>
      <c r="G225" s="15">
        <f t="shared" si="0"/>
        <v>599.0</v>
      </c>
      <c r="H225" s="16">
        <f t="shared" si="1"/>
        <v>0.667779632721202</v>
      </c>
      <c r="I225" s="15">
        <v>199.0</v>
      </c>
    </row>
    <row r="226" ht="17.0">
      <c r="A226" s="1" t="s">
        <v>504</v>
      </c>
      <c r="B226" s="1" t="s">
        <v>962</v>
      </c>
      <c r="C226" s="1" t="s">
        <v>963</v>
      </c>
      <c r="D226" s="1">
        <v>1.0</v>
      </c>
      <c r="E226" s="1" t="s">
        <v>939</v>
      </c>
      <c r="F226" s="15">
        <v>599.0</v>
      </c>
      <c r="G226" s="15">
        <f t="shared" si="0"/>
        <v>599.0</v>
      </c>
      <c r="H226" s="16">
        <f t="shared" si="1"/>
        <v>0.667779632721202</v>
      </c>
      <c r="I226" s="15">
        <v>199.0</v>
      </c>
    </row>
    <row r="227" ht="17.0">
      <c r="A227" s="1" t="s">
        <v>504</v>
      </c>
      <c r="B227" s="1" t="s">
        <v>964</v>
      </c>
      <c r="C227" s="1" t="s">
        <v>965</v>
      </c>
      <c r="D227" s="1">
        <v>1.0</v>
      </c>
      <c r="E227" s="1" t="s">
        <v>966</v>
      </c>
      <c r="F227" s="15">
        <v>238.8</v>
      </c>
      <c r="G227" s="15">
        <f t="shared" si="0"/>
        <v>238.8</v>
      </c>
      <c r="H227" s="16">
        <f t="shared" si="1"/>
        <v>0.124790619765493</v>
      </c>
      <c r="I227" s="15">
        <v>209.0</v>
      </c>
    </row>
    <row r="228" ht="17.0">
      <c r="A228" s="1" t="s">
        <v>504</v>
      </c>
      <c r="B228" s="1" t="s">
        <v>967</v>
      </c>
      <c r="C228" s="1" t="s">
        <v>968</v>
      </c>
      <c r="D228" s="1">
        <v>1.21</v>
      </c>
      <c r="E228" s="1" t="s">
        <v>969</v>
      </c>
      <c r="F228" s="15">
        <v>288.948</v>
      </c>
      <c r="G228" s="15">
        <f t="shared" si="0"/>
        <v>238.8</v>
      </c>
      <c r="H228" s="16">
        <f t="shared" si="1"/>
        <v>0.124790619765493</v>
      </c>
      <c r="I228" s="15">
        <v>209.0</v>
      </c>
    </row>
    <row r="229" ht="17.0">
      <c r="A229" s="1" t="s">
        <v>504</v>
      </c>
      <c r="B229" s="1" t="s">
        <v>970</v>
      </c>
      <c r="C229" s="1" t="s">
        <v>971</v>
      </c>
      <c r="D229" s="1">
        <v>1.68</v>
      </c>
      <c r="E229" s="1" t="s">
        <v>972</v>
      </c>
      <c r="F229" s="15">
        <v>659.0</v>
      </c>
      <c r="G229" s="15">
        <f t="shared" si="0"/>
        <v>392.261904761904</v>
      </c>
      <c r="H229" s="16">
        <f t="shared" si="1"/>
        <v>0.416206373292867</v>
      </c>
      <c r="I229" s="15">
        <v>229.0</v>
      </c>
      <c r="J229" s="15">
        <v>219.0</v>
      </c>
    </row>
    <row r="230" ht="17.0">
      <c r="A230" s="1" t="s">
        <v>504</v>
      </c>
      <c r="B230" s="1" t="s">
        <v>973</v>
      </c>
      <c r="C230" s="1" t="s">
        <v>974</v>
      </c>
      <c r="D230" s="1">
        <v>1.68</v>
      </c>
      <c r="E230" s="1" t="s">
        <v>972</v>
      </c>
      <c r="F230" s="15">
        <v>659.0</v>
      </c>
      <c r="G230" s="15">
        <f t="shared" si="0"/>
        <v>392.261904761904</v>
      </c>
      <c r="H230" s="16">
        <f t="shared" si="1"/>
        <v>0.416206373292867</v>
      </c>
      <c r="I230" s="15">
        <v>229.0</v>
      </c>
      <c r="J230" s="15">
        <v>219.0</v>
      </c>
    </row>
    <row r="231" ht="17.0">
      <c r="A231" s="1" t="s">
        <v>504</v>
      </c>
      <c r="B231" s="1" t="s">
        <v>975</v>
      </c>
      <c r="C231" s="1" t="s">
        <v>976</v>
      </c>
      <c r="D231" s="1">
        <v>1.68</v>
      </c>
      <c r="E231" s="1" t="s">
        <v>972</v>
      </c>
      <c r="F231" s="15">
        <v>659.0</v>
      </c>
      <c r="G231" s="15">
        <f t="shared" si="0"/>
        <v>392.261904761904</v>
      </c>
      <c r="H231" s="16">
        <f t="shared" si="1"/>
        <v>0.416206373292867</v>
      </c>
      <c r="I231" s="15">
        <v>229.0</v>
      </c>
      <c r="J231" s="15">
        <v>159.0</v>
      </c>
      <c r="K231" s="11" t="s">
        <v>524</v>
      </c>
    </row>
    <row r="232" ht="17.0">
      <c r="A232" s="1" t="s">
        <v>504</v>
      </c>
      <c r="B232" s="1" t="s">
        <v>977</v>
      </c>
      <c r="C232" s="1" t="s">
        <v>978</v>
      </c>
      <c r="D232" s="1">
        <v>2.79</v>
      </c>
      <c r="E232" s="1" t="s">
        <v>859</v>
      </c>
      <c r="F232" s="15">
        <v>899.0</v>
      </c>
      <c r="G232" s="15">
        <f t="shared" si="0"/>
        <v>322.222222222222</v>
      </c>
      <c r="H232" s="16">
        <f t="shared" si="1"/>
        <v>0.258275862068965</v>
      </c>
      <c r="I232" s="15">
        <v>239.0</v>
      </c>
      <c r="J232" s="15">
        <v>229.0</v>
      </c>
    </row>
    <row r="233" ht="17.0">
      <c r="A233" s="1" t="s">
        <v>504</v>
      </c>
      <c r="B233" s="1" t="s">
        <v>979</v>
      </c>
      <c r="C233" s="1" t="s">
        <v>980</v>
      </c>
      <c r="D233" s="1">
        <v>1.0</v>
      </c>
      <c r="E233" s="1" t="s">
        <v>981</v>
      </c>
      <c r="F233" s="15">
        <v>319.0</v>
      </c>
      <c r="G233" s="15">
        <f t="shared" si="0"/>
        <v>319.0</v>
      </c>
      <c r="H233" s="16">
        <f t="shared" si="1"/>
        <v>0.25</v>
      </c>
      <c r="I233" s="15">
        <v>239.25</v>
      </c>
    </row>
    <row r="234" ht="17.0">
      <c r="A234" s="1" t="s">
        <v>504</v>
      </c>
      <c r="B234" s="1" t="s">
        <v>982</v>
      </c>
      <c r="C234" s="1" t="s">
        <v>983</v>
      </c>
      <c r="D234" s="1">
        <v>1.0</v>
      </c>
      <c r="E234" s="1" t="s">
        <v>981</v>
      </c>
      <c r="F234" s="15">
        <v>319.0</v>
      </c>
      <c r="G234" s="15">
        <f t="shared" si="0"/>
        <v>319.0</v>
      </c>
      <c r="H234" s="16">
        <f t="shared" si="1"/>
        <v>0.25</v>
      </c>
      <c r="I234" s="15">
        <v>239.25</v>
      </c>
    </row>
    <row r="235" ht="17.0">
      <c r="A235" s="1" t="s">
        <v>504</v>
      </c>
      <c r="B235" s="1" t="s">
        <v>984</v>
      </c>
      <c r="C235" s="1" t="s">
        <v>985</v>
      </c>
      <c r="D235" s="1">
        <v>1.0</v>
      </c>
      <c r="E235" s="1" t="s">
        <v>986</v>
      </c>
      <c r="F235" s="15">
        <v>332.0</v>
      </c>
      <c r="G235" s="15">
        <f t="shared" si="0"/>
        <v>332.0</v>
      </c>
      <c r="H235" s="16">
        <f t="shared" si="1"/>
        <v>0.25</v>
      </c>
      <c r="I235" s="15">
        <v>249.0</v>
      </c>
    </row>
    <row r="236" ht="17.0">
      <c r="A236" s="1" t="s">
        <v>504</v>
      </c>
      <c r="B236" s="1" t="s">
        <v>987</v>
      </c>
      <c r="C236" s="1" t="s">
        <v>988</v>
      </c>
      <c r="D236" s="1">
        <v>1.0</v>
      </c>
      <c r="E236" s="1" t="s">
        <v>986</v>
      </c>
      <c r="F236" s="15">
        <v>332.0</v>
      </c>
      <c r="G236" s="15">
        <f t="shared" si="0"/>
        <v>332.0</v>
      </c>
      <c r="H236" s="16">
        <f t="shared" si="1"/>
        <v>0.25</v>
      </c>
      <c r="I236" s="15">
        <v>249.0</v>
      </c>
    </row>
    <row r="237" ht="17.0">
      <c r="A237" s="1" t="s">
        <v>504</v>
      </c>
      <c r="B237" s="1" t="s">
        <v>989</v>
      </c>
      <c r="C237" s="1" t="s">
        <v>990</v>
      </c>
      <c r="D237" s="1">
        <v>2.88</v>
      </c>
      <c r="E237" s="1" t="s">
        <v>207</v>
      </c>
      <c r="F237" s="15">
        <v>1339.0</v>
      </c>
      <c r="G237" s="15">
        <f t="shared" si="0"/>
        <v>464.930555555556</v>
      </c>
      <c r="H237" s="16">
        <f t="shared" si="1"/>
        <v>0.356893203883496</v>
      </c>
      <c r="I237" s="15">
        <v>299.0</v>
      </c>
      <c r="J237" s="15">
        <v>289.0</v>
      </c>
    </row>
    <row r="238" ht="17.0">
      <c r="A238" s="1" t="s">
        <v>504</v>
      </c>
      <c r="B238" s="1" t="s">
        <v>991</v>
      </c>
      <c r="C238" s="1" t="s">
        <v>992</v>
      </c>
      <c r="D238" s="1">
        <v>2.88</v>
      </c>
      <c r="E238" s="1" t="s">
        <v>207</v>
      </c>
      <c r="F238" s="15">
        <v>1339.0</v>
      </c>
      <c r="G238" s="15">
        <f t="shared" si="0"/>
        <v>464.930555555556</v>
      </c>
      <c r="H238" s="16">
        <f t="shared" si="1"/>
        <v>0.356893203883496</v>
      </c>
      <c r="I238" s="15">
        <v>299.0</v>
      </c>
      <c r="J238" s="15">
        <v>289.0</v>
      </c>
    </row>
    <row r="239" ht="17.0">
      <c r="A239" s="1" t="s">
        <v>504</v>
      </c>
      <c r="B239" s="1" t="s">
        <v>993</v>
      </c>
      <c r="C239" s="1" t="s">
        <v>994</v>
      </c>
      <c r="D239" s="1">
        <v>2.88</v>
      </c>
      <c r="E239" s="1" t="s">
        <v>207</v>
      </c>
      <c r="F239" s="15">
        <v>1339.0</v>
      </c>
      <c r="G239" s="15">
        <f t="shared" si="0"/>
        <v>464.930555555556</v>
      </c>
      <c r="H239" s="16">
        <f t="shared" si="1"/>
        <v>0.356893203883496</v>
      </c>
      <c r="I239" s="15">
        <v>299.0</v>
      </c>
      <c r="J239" s="15">
        <v>189.0</v>
      </c>
      <c r="K239" s="11" t="s">
        <v>524</v>
      </c>
    </row>
    <row r="240" ht="17.0">
      <c r="A240" s="1" t="s">
        <v>504</v>
      </c>
      <c r="B240" s="1" t="s">
        <v>995</v>
      </c>
      <c r="C240" s="1" t="s">
        <v>996</v>
      </c>
      <c r="D240" s="1">
        <v>1.92</v>
      </c>
      <c r="E240" s="1" t="s">
        <v>997</v>
      </c>
      <c r="F240" s="15">
        <v>999.0</v>
      </c>
      <c r="G240" s="15">
        <f t="shared" si="0"/>
        <v>520.3125</v>
      </c>
      <c r="H240" s="16">
        <f t="shared" si="1"/>
        <v>0.29081081081081</v>
      </c>
      <c r="I240" s="15">
        <v>369.0</v>
      </c>
    </row>
    <row r="241" ht="17.0">
      <c r="A241" s="1" t="s">
        <v>504</v>
      </c>
      <c r="B241" s="1" t="s">
        <v>998</v>
      </c>
      <c r="C241" s="1" t="s">
        <v>999</v>
      </c>
      <c r="D241" s="1">
        <v>1.92</v>
      </c>
      <c r="E241" s="1" t="s">
        <v>997</v>
      </c>
      <c r="F241" s="15">
        <v>999.0</v>
      </c>
      <c r="G241" s="15">
        <f t="shared" si="0"/>
        <v>520.3125</v>
      </c>
      <c r="H241" s="16">
        <f t="shared" si="1"/>
        <v>0.29081081081081</v>
      </c>
      <c r="I241" s="15">
        <v>369.0</v>
      </c>
    </row>
    <row r="242" ht="17.0">
      <c r="A242" s="1" t="s">
        <v>504</v>
      </c>
      <c r="B242" s="1" t="s">
        <v>1000</v>
      </c>
      <c r="C242" s="1" t="s">
        <v>1001</v>
      </c>
      <c r="D242" s="1">
        <v>1.92</v>
      </c>
      <c r="E242" s="1" t="s">
        <v>997</v>
      </c>
      <c r="F242" s="15">
        <v>999.0</v>
      </c>
      <c r="G242" s="15">
        <f t="shared" si="0"/>
        <v>520.3125</v>
      </c>
      <c r="H242" s="16">
        <f t="shared" si="1"/>
        <v>0.29081081081081</v>
      </c>
      <c r="I242" s="15">
        <v>369.0</v>
      </c>
    </row>
    <row r="243" ht="17.0">
      <c r="A243" s="1" t="s">
        <v>504</v>
      </c>
      <c r="B243" s="1" t="s">
        <v>1002</v>
      </c>
      <c r="C243" s="1" t="s">
        <v>1003</v>
      </c>
      <c r="D243" s="1">
        <v>1.21</v>
      </c>
      <c r="E243" s="1" t="s">
        <v>1004</v>
      </c>
      <c r="F243" s="15">
        <v>790.0</v>
      </c>
      <c r="G243" s="15">
        <f t="shared" si="0"/>
        <v>652.892561983471</v>
      </c>
      <c r="H243" s="16">
        <f t="shared" si="1"/>
        <v>0.342924050632911</v>
      </c>
      <c r="I243" s="15">
        <v>429.0</v>
      </c>
    </row>
    <row r="244" ht="17.0">
      <c r="A244" s="1" t="s">
        <v>504</v>
      </c>
      <c r="B244" s="1" t="s">
        <v>1005</v>
      </c>
      <c r="C244" s="1" t="s">
        <v>1006</v>
      </c>
      <c r="D244" s="1">
        <v>1.2</v>
      </c>
      <c r="E244" s="1" t="s">
        <v>1007</v>
      </c>
      <c r="F244" s="15">
        <v>729.0</v>
      </c>
      <c r="G244" s="15">
        <f t="shared" si="0"/>
        <v>607.5</v>
      </c>
      <c r="H244" s="16">
        <f t="shared" si="1"/>
        <v>0.178600823045268</v>
      </c>
      <c r="I244" s="15">
        <v>499.0</v>
      </c>
      <c r="J244" s="15">
        <v>489.0</v>
      </c>
    </row>
    <row r="245" ht="17.0">
      <c r="A245" s="1" t="s">
        <v>504</v>
      </c>
      <c r="B245" s="1" t="s">
        <v>1008</v>
      </c>
      <c r="C245" s="1" t="s">
        <v>1009</v>
      </c>
      <c r="D245" s="1">
        <v>1.2</v>
      </c>
      <c r="E245" s="1" t="s">
        <v>1007</v>
      </c>
      <c r="F245" s="15">
        <v>729.0</v>
      </c>
      <c r="G245" s="15">
        <f t="shared" si="0"/>
        <v>607.5</v>
      </c>
      <c r="H245" s="16">
        <f t="shared" si="1"/>
        <v>0.178600823045268</v>
      </c>
      <c r="I245" s="15">
        <v>499.0</v>
      </c>
      <c r="J245" s="15">
        <v>489.0</v>
      </c>
    </row>
    <row r="246" ht="17.0">
      <c r="A246" s="1" t="s">
        <v>504</v>
      </c>
      <c r="B246" s="1" t="s">
        <v>1010</v>
      </c>
      <c r="C246" s="1" t="s">
        <v>1011</v>
      </c>
      <c r="D246" s="1">
        <v>1.0</v>
      </c>
      <c r="E246" s="1" t="s">
        <v>939</v>
      </c>
      <c r="F246" s="15">
        <v>890.0</v>
      </c>
      <c r="G246" s="15">
        <f t="shared" si="0"/>
        <v>890.0</v>
      </c>
      <c r="H246" s="16">
        <f t="shared" si="1"/>
        <v>0.32696629213483</v>
      </c>
      <c r="I246" s="15">
        <v>599.0</v>
      </c>
    </row>
    <row r="247" ht="17.0">
      <c r="A247" s="1" t="s">
        <v>504</v>
      </c>
      <c r="B247" s="1" t="s">
        <v>1012</v>
      </c>
      <c r="C247" s="1" t="s">
        <v>1013</v>
      </c>
      <c r="D247" s="1">
        <v>1.0</v>
      </c>
      <c r="E247" s="1" t="s">
        <v>939</v>
      </c>
      <c r="F247" s="15">
        <v>890.0</v>
      </c>
      <c r="G247" s="15">
        <f t="shared" si="0"/>
        <v>890.0</v>
      </c>
      <c r="H247" s="16">
        <f t="shared" si="1"/>
        <v>0.32696629213483</v>
      </c>
      <c r="I247" s="15">
        <v>599.0</v>
      </c>
    </row>
    <row r="248" ht="17.0">
      <c r="A248" s="1" t="s">
        <v>504</v>
      </c>
      <c r="B248" s="1" t="s">
        <v>1014</v>
      </c>
      <c r="C248" s="1" t="s">
        <v>1015</v>
      </c>
      <c r="D248" s="1">
        <v>1.0</v>
      </c>
      <c r="E248" s="1" t="s">
        <v>939</v>
      </c>
      <c r="F248" s="15">
        <v>890.0</v>
      </c>
      <c r="G248" s="15">
        <f t="shared" si="0"/>
        <v>890.0</v>
      </c>
      <c r="H248" s="16">
        <f t="shared" si="1"/>
        <v>0.32696629213483</v>
      </c>
      <c r="I248" s="15">
        <v>599.0</v>
      </c>
    </row>
    <row r="249" ht="17.0">
      <c r="A249" s="1" t="s">
        <v>504</v>
      </c>
      <c r="B249" s="1" t="s">
        <v>1016</v>
      </c>
      <c r="C249" s="1" t="s">
        <v>1017</v>
      </c>
      <c r="D249" s="1">
        <v>1.0</v>
      </c>
      <c r="E249" s="1" t="s">
        <v>939</v>
      </c>
      <c r="F249" s="15">
        <v>942.3</v>
      </c>
      <c r="G249" s="15">
        <f t="shared" si="0"/>
        <v>942.3</v>
      </c>
      <c r="H249" s="16">
        <f t="shared" si="1"/>
        <v>0.030001061233153</v>
      </c>
      <c r="I249" s="15">
        <v>914.03</v>
      </c>
    </row>
    <row r="250" ht="17.0">
      <c r="A250" s="1" t="s">
        <v>504</v>
      </c>
      <c r="B250" s="1" t="s">
        <v>1018</v>
      </c>
      <c r="C250" s="1" t="s">
        <v>1019</v>
      </c>
      <c r="D250" s="1">
        <v>1.0</v>
      </c>
      <c r="E250" s="1" t="s">
        <v>939</v>
      </c>
      <c r="F250" s="15">
        <v>942.3</v>
      </c>
      <c r="G250" s="15">
        <f t="shared" si="0"/>
        <v>942.3</v>
      </c>
      <c r="H250" s="16">
        <f t="shared" si="1"/>
        <v>0.030001061233153</v>
      </c>
      <c r="I250" s="15">
        <v>914.03</v>
      </c>
    </row>
    <row r="251" ht="17.0">
      <c r="A251" s="1" t="s">
        <v>504</v>
      </c>
      <c r="B251" s="1" t="s">
        <v>1020</v>
      </c>
      <c r="C251" s="1" t="s">
        <v>1021</v>
      </c>
      <c r="D251" s="1">
        <v>1.0</v>
      </c>
      <c r="E251" s="1" t="s">
        <v>939</v>
      </c>
      <c r="F251" s="15">
        <v>942.3</v>
      </c>
      <c r="G251" s="15">
        <f t="shared" si="0"/>
        <v>942.3</v>
      </c>
      <c r="H251" s="16">
        <f t="shared" si="1"/>
        <v>0.030001061233153</v>
      </c>
      <c r="I251" s="15">
        <v>914.03</v>
      </c>
    </row>
    <row r="252" ht="17.0">
      <c r="A252" s="1" t="s">
        <v>504</v>
      </c>
      <c r="B252" s="1" t="s">
        <v>1022</v>
      </c>
      <c r="C252" s="1" t="s">
        <v>1023</v>
      </c>
      <c r="D252" s="1">
        <v>1.0</v>
      </c>
      <c r="E252" s="1" t="s">
        <v>939</v>
      </c>
      <c r="F252" s="15">
        <v>1590.0</v>
      </c>
      <c r="G252" s="15">
        <f t="shared" si="0"/>
        <v>1590.0</v>
      </c>
      <c r="H252" s="16">
        <f t="shared" si="1"/>
        <v>0.25</v>
      </c>
      <c r="I252" s="15">
        <v>1192.5</v>
      </c>
    </row>
    <row r="253" ht="17.0">
      <c r="A253" s="1" t="s">
        <v>504</v>
      </c>
      <c r="B253" s="1" t="s">
        <v>1024</v>
      </c>
      <c r="C253" s="1" t="s">
        <v>1025</v>
      </c>
      <c r="D253" s="1">
        <v>1.0</v>
      </c>
      <c r="E253" s="1" t="s">
        <v>939</v>
      </c>
      <c r="F253" s="15">
        <v>1590.0</v>
      </c>
      <c r="G253" s="15">
        <f t="shared" si="0"/>
        <v>1590.0</v>
      </c>
      <c r="H253" s="16">
        <f t="shared" si="1"/>
        <v>0.25</v>
      </c>
      <c r="I253" s="15">
        <v>1192.5</v>
      </c>
    </row>
    <row r="254" ht="17.0">
      <c r="A254" s="1" t="s">
        <v>504</v>
      </c>
      <c r="B254" s="1" t="s">
        <v>1026</v>
      </c>
      <c r="C254" s="1" t="s">
        <v>1027</v>
      </c>
      <c r="D254" s="1">
        <v>1.0</v>
      </c>
      <c r="E254" s="1" t="s">
        <v>939</v>
      </c>
      <c r="F254" s="15">
        <v>1590.0</v>
      </c>
      <c r="G254" s="15">
        <f t="shared" si="0"/>
        <v>1590.0</v>
      </c>
      <c r="H254" s="16">
        <f t="shared" si="1"/>
        <v>0.25</v>
      </c>
      <c r="I254" s="15">
        <v>1192.5</v>
      </c>
    </row>
    <row r="255" ht="17.0">
      <c r="A255" s="1" t="s">
        <v>504</v>
      </c>
      <c r="B255" s="1" t="s">
        <v>1028</v>
      </c>
      <c r="C255" s="1" t="s">
        <v>1029</v>
      </c>
      <c r="D255" s="1">
        <v>1.0</v>
      </c>
      <c r="E255" s="1" t="s">
        <v>939</v>
      </c>
      <c r="F255" s="15">
        <v>1590.0</v>
      </c>
      <c r="G255" s="15">
        <f t="shared" si="0"/>
        <v>1590.0</v>
      </c>
      <c r="H255" s="16">
        <f t="shared" si="1"/>
        <v>0.25</v>
      </c>
      <c r="I255" s="15">
        <v>1192.5</v>
      </c>
    </row>
    <row r="256" ht="17.0">
      <c r="A256" s="1" t="s">
        <v>504</v>
      </c>
      <c r="B256" s="1" t="s">
        <v>1030</v>
      </c>
      <c r="C256" s="1" t="s">
        <v>1031</v>
      </c>
      <c r="D256" s="1">
        <v>1.0</v>
      </c>
      <c r="E256" s="1" t="s">
        <v>939</v>
      </c>
      <c r="F256" s="15">
        <v>1590.0</v>
      </c>
      <c r="G256" s="15">
        <f t="shared" si="0"/>
        <v>1590.0</v>
      </c>
      <c r="H256" s="16">
        <f t="shared" si="1"/>
        <v>0.25</v>
      </c>
      <c r="I256" s="15">
        <v>1192.5</v>
      </c>
    </row>
    <row r="257" customHeight="1" ht="15.0">
      <c r="A257" s="1" t="s">
        <v>504</v>
      </c>
      <c r="B257" s="22" t="s">
        <v>1032</v>
      </c>
      <c r="C257" s="17" t="s">
        <v>1033</v>
      </c>
      <c r="D257" s="1">
        <v>1.0</v>
      </c>
      <c r="E257" s="1" t="s">
        <v>939</v>
      </c>
      <c r="F257" s="23">
        <v>829.0</v>
      </c>
      <c r="G257" s="15">
        <f t="shared" si="0"/>
        <v>829.0</v>
      </c>
      <c r="H257" s="16">
        <f t="shared" si="1"/>
        <v>0.772014475271411</v>
      </c>
      <c r="I257" s="15">
        <v>189.0</v>
      </c>
      <c r="K257" s="15" t="s">
        <v>524</v>
      </c>
    </row>
  </sheetData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808080"/>
  </sheetPr>
  <dimension ref="A1:M81"/>
  <sheetViews>
    <sheetView workbookViewId="0"/>
  </sheetViews>
  <sheetFormatPr defaultRowHeight="14.0" customHeight="1"/>
  <cols>
    <col min="1" max="1" style="1" width="13.77"/>
    <col min="2" max="2" style="1" width="22.12"/>
    <col min="3" max="3" style="1" width="18.81"/>
    <col min="4" max="4" style="1" width="38.95"/>
    <col min="5" max="5" style="1" width="11.39"/>
    <col min="6" max="6" style="1" width="48.49"/>
    <col min="7" max="7" style="1" width="7.94"/>
    <col min="8" max="8" style="1" width="12.71"/>
    <col min="9" max="9" style="1" width="9.93"/>
    <col min="10" max="10" style="15" width="17.88"/>
    <col min="11" max="11" style="3" width="14.97"/>
    <col min="12" max="12" style="1" width="16.16"/>
    <col min="13" max="13" style="1" width="22.25"/>
    <col min="14" max="2048" style="1" width="8.87"/>
  </cols>
  <sheetData>
    <row r="1" ht="29.0" customFormat="1" s="8">
      <c r="A1" s="4" t="s">
        <v>0</v>
      </c>
      <c r="B1" s="4" t="s">
        <v>1</v>
      </c>
      <c r="C1" s="4" t="s">
        <v>2</v>
      </c>
      <c r="D1" s="4" t="s">
        <v>3</v>
      </c>
      <c r="E1" s="24" t="s">
        <v>4</v>
      </c>
      <c r="F1" s="24" t="s">
        <v>1034</v>
      </c>
      <c r="G1" s="4" t="s">
        <v>6</v>
      </c>
      <c r="H1" s="4" t="s">
        <v>1035</v>
      </c>
      <c r="I1" s="4" t="s">
        <v>11</v>
      </c>
      <c r="J1" s="18" t="s">
        <v>1036</v>
      </c>
      <c r="K1" s="6" t="s">
        <v>1037</v>
      </c>
      <c r="L1" s="25" t="s">
        <v>1038</v>
      </c>
      <c r="M1" s="4" t="s">
        <v>503</v>
      </c>
    </row>
    <row r="2" customHeight="1" ht="15.0">
      <c r="A2" s="1" t="s">
        <v>1039</v>
      </c>
      <c r="B2" s="1" t="s">
        <v>20</v>
      </c>
      <c r="C2" s="1" t="s">
        <v>1040</v>
      </c>
      <c r="D2" s="1" t="s">
        <v>1041</v>
      </c>
      <c r="E2" s="26" t="s">
        <v>1042</v>
      </c>
      <c r="F2" s="26" t="s">
        <v>1043</v>
      </c>
      <c r="G2" s="1" t="s">
        <v>1044</v>
      </c>
      <c r="H2" s="1" t="s">
        <v>1045</v>
      </c>
      <c r="I2" s="1" t="s">
        <v>32</v>
      </c>
      <c r="J2" s="15">
        <v>299.0</v>
      </c>
      <c r="K2" s="3">
        <f t="shared" ref="K2:K81" si="0">(L2/J2-1)*-1</f>
        <v>0.431438127090301</v>
      </c>
      <c r="L2" s="15">
        <v>170.0</v>
      </c>
    </row>
    <row r="3" customHeight="1" ht="15.0">
      <c r="A3" s="1" t="s">
        <v>1039</v>
      </c>
      <c r="B3" s="1" t="s">
        <v>20</v>
      </c>
      <c r="C3" s="1" t="s">
        <v>1040</v>
      </c>
      <c r="D3" s="1" t="s">
        <v>1041</v>
      </c>
      <c r="E3" s="26" t="s">
        <v>1046</v>
      </c>
      <c r="F3" s="26" t="s">
        <v>1047</v>
      </c>
      <c r="G3" s="1" t="s">
        <v>1044</v>
      </c>
      <c r="H3" s="1" t="s">
        <v>1045</v>
      </c>
      <c r="I3" s="1" t="s">
        <v>56</v>
      </c>
      <c r="J3" s="15">
        <v>259.0</v>
      </c>
      <c r="K3" s="3">
        <f t="shared" si="0"/>
        <v>0.305019305019304</v>
      </c>
      <c r="L3" s="15">
        <v>180.0</v>
      </c>
    </row>
    <row r="4" customHeight="1" ht="15.0">
      <c r="A4" s="1" t="s">
        <v>1039</v>
      </c>
      <c r="B4" s="1" t="s">
        <v>20</v>
      </c>
      <c r="C4" s="1" t="s">
        <v>1040</v>
      </c>
      <c r="D4" s="1" t="s">
        <v>1041</v>
      </c>
      <c r="E4" s="26" t="s">
        <v>1048</v>
      </c>
      <c r="F4" s="26" t="s">
        <v>1049</v>
      </c>
      <c r="G4" s="1" t="s">
        <v>1044</v>
      </c>
      <c r="H4" s="1" t="s">
        <v>1045</v>
      </c>
      <c r="I4" s="1" t="s">
        <v>56</v>
      </c>
      <c r="J4" s="15">
        <v>309.0</v>
      </c>
      <c r="K4" s="3">
        <f t="shared" si="0"/>
        <v>0.258899676375405</v>
      </c>
      <c r="L4" s="15">
        <v>229.0</v>
      </c>
      <c r="M4" s="1" t="s">
        <v>1050</v>
      </c>
    </row>
    <row r="5" customHeight="1" ht="15.0">
      <c r="A5" s="1" t="s">
        <v>1039</v>
      </c>
      <c r="B5" s="1" t="s">
        <v>20</v>
      </c>
      <c r="C5" s="1" t="s">
        <v>1040</v>
      </c>
      <c r="D5" s="1" t="s">
        <v>1041</v>
      </c>
      <c r="E5" s="26" t="s">
        <v>1051</v>
      </c>
      <c r="F5" s="26" t="s">
        <v>1052</v>
      </c>
      <c r="G5" s="1" t="s">
        <v>1044</v>
      </c>
      <c r="H5" s="1" t="s">
        <v>1045</v>
      </c>
      <c r="I5" s="1" t="s">
        <v>56</v>
      </c>
      <c r="J5" s="15">
        <v>239.0</v>
      </c>
      <c r="K5" s="3">
        <f t="shared" si="0"/>
        <v>0.292887029288703</v>
      </c>
      <c r="L5" s="15">
        <v>169.0</v>
      </c>
    </row>
    <row r="6" customHeight="1" ht="15.0">
      <c r="A6" s="1" t="s">
        <v>1039</v>
      </c>
      <c r="B6" s="1" t="s">
        <v>20</v>
      </c>
      <c r="C6" s="1" t="s">
        <v>1040</v>
      </c>
      <c r="D6" s="1" t="s">
        <v>1041</v>
      </c>
      <c r="E6" s="26" t="s">
        <v>1053</v>
      </c>
      <c r="F6" s="26" t="s">
        <v>1054</v>
      </c>
      <c r="G6" s="1" t="s">
        <v>1044</v>
      </c>
      <c r="H6" s="1" t="s">
        <v>1045</v>
      </c>
      <c r="I6" s="1" t="s">
        <v>56</v>
      </c>
      <c r="J6" s="15">
        <v>219.0</v>
      </c>
      <c r="K6" s="3">
        <f t="shared" si="0"/>
        <v>0.228310502283105</v>
      </c>
      <c r="L6" s="15">
        <v>169.0</v>
      </c>
      <c r="M6" s="1" t="s">
        <v>1055</v>
      </c>
    </row>
    <row r="7" customHeight="1" ht="15.0">
      <c r="A7" s="1" t="s">
        <v>1039</v>
      </c>
      <c r="B7" s="1" t="s">
        <v>20</v>
      </c>
      <c r="C7" s="1" t="s">
        <v>1040</v>
      </c>
      <c r="D7" s="1" t="s">
        <v>1041</v>
      </c>
      <c r="E7" s="26" t="s">
        <v>1056</v>
      </c>
      <c r="F7" s="26" t="s">
        <v>1057</v>
      </c>
      <c r="G7" s="1" t="s">
        <v>1044</v>
      </c>
      <c r="H7" s="1" t="s">
        <v>1045</v>
      </c>
      <c r="I7" s="1" t="s">
        <v>32</v>
      </c>
      <c r="J7" s="15">
        <v>299.0</v>
      </c>
      <c r="K7" s="3">
        <f t="shared" si="0"/>
        <v>0.267558528428094</v>
      </c>
      <c r="L7" s="15">
        <v>219.0</v>
      </c>
    </row>
    <row r="8" customHeight="1" ht="15.0">
      <c r="A8" s="1" t="s">
        <v>1039</v>
      </c>
      <c r="B8" s="1" t="s">
        <v>1058</v>
      </c>
      <c r="C8" s="1" t="s">
        <v>1040</v>
      </c>
      <c r="D8" s="1" t="s">
        <v>1059</v>
      </c>
      <c r="E8" s="26" t="s">
        <v>1060</v>
      </c>
      <c r="F8" s="26" t="s">
        <v>1061</v>
      </c>
      <c r="G8" s="1" t="s">
        <v>1044</v>
      </c>
      <c r="H8" s="1" t="s">
        <v>1062</v>
      </c>
      <c r="J8" s="15">
        <v>229.0</v>
      </c>
      <c r="K8" s="3">
        <f t="shared" si="0"/>
        <v>0.262008733624454</v>
      </c>
      <c r="L8" s="15">
        <v>169.0</v>
      </c>
    </row>
    <row r="9" customHeight="1" ht="15.0">
      <c r="A9" s="1" t="s">
        <v>1063</v>
      </c>
      <c r="B9" s="1" t="s">
        <v>20</v>
      </c>
      <c r="C9" s="1" t="s">
        <v>1040</v>
      </c>
      <c r="D9" s="1" t="s">
        <v>1041</v>
      </c>
      <c r="E9" s="26" t="s">
        <v>1064</v>
      </c>
      <c r="F9" s="26" t="s">
        <v>1065</v>
      </c>
      <c r="G9" s="1" t="s">
        <v>1044</v>
      </c>
      <c r="H9" s="1" t="s">
        <v>1045</v>
      </c>
      <c r="I9" s="1" t="s">
        <v>74</v>
      </c>
      <c r="J9" s="15">
        <v>579.0</v>
      </c>
      <c r="K9" s="3">
        <f t="shared" si="0"/>
        <v>0.13126079447323</v>
      </c>
      <c r="L9" s="15">
        <v>503.0</v>
      </c>
    </row>
    <row r="10" customHeight="1" ht="15.0">
      <c r="A10" s="1" t="s">
        <v>1063</v>
      </c>
      <c r="B10" s="1" t="s">
        <v>20</v>
      </c>
      <c r="C10" s="1" t="s">
        <v>1040</v>
      </c>
      <c r="D10" s="1" t="s">
        <v>1041</v>
      </c>
      <c r="E10" s="26" t="s">
        <v>1066</v>
      </c>
      <c r="F10" s="26" t="s">
        <v>1067</v>
      </c>
      <c r="G10" s="1" t="s">
        <v>1044</v>
      </c>
      <c r="H10" s="1" t="s">
        <v>1045</v>
      </c>
      <c r="I10" s="1" t="s">
        <v>56</v>
      </c>
      <c r="J10" s="15">
        <v>579.0</v>
      </c>
      <c r="K10" s="3">
        <f t="shared" si="0"/>
        <v>0.13126079447323</v>
      </c>
      <c r="L10" s="15">
        <v>503.0</v>
      </c>
    </row>
    <row r="11" customHeight="1" ht="15.0">
      <c r="A11" s="1" t="s">
        <v>1063</v>
      </c>
      <c r="B11" s="1" t="s">
        <v>20</v>
      </c>
      <c r="C11" s="1" t="s">
        <v>1040</v>
      </c>
      <c r="D11" s="1" t="s">
        <v>1041</v>
      </c>
      <c r="E11" s="26" t="s">
        <v>1068</v>
      </c>
      <c r="F11" s="26" t="s">
        <v>1069</v>
      </c>
      <c r="G11" s="1" t="s">
        <v>1044</v>
      </c>
      <c r="H11" s="1" t="s">
        <v>1045</v>
      </c>
      <c r="I11" s="1" t="s">
        <v>56</v>
      </c>
      <c r="J11" s="15">
        <v>209.0</v>
      </c>
      <c r="K11" s="3">
        <f t="shared" si="0"/>
        <v>0.162679425837318</v>
      </c>
      <c r="L11" s="15">
        <v>175.0</v>
      </c>
    </row>
    <row r="12" customHeight="1" ht="15.0">
      <c r="A12" s="1" t="s">
        <v>1063</v>
      </c>
      <c r="B12" s="1" t="s">
        <v>20</v>
      </c>
      <c r="C12" s="1" t="s">
        <v>1040</v>
      </c>
      <c r="D12" s="1" t="s">
        <v>1041</v>
      </c>
      <c r="E12" s="26" t="s">
        <v>1070</v>
      </c>
      <c r="F12" s="26" t="s">
        <v>1071</v>
      </c>
      <c r="G12" s="1" t="s">
        <v>1044</v>
      </c>
      <c r="H12" s="1" t="s">
        <v>1045</v>
      </c>
      <c r="I12" s="1" t="s">
        <v>56</v>
      </c>
      <c r="J12" s="15">
        <v>229.0</v>
      </c>
      <c r="K12" s="3">
        <f t="shared" si="0"/>
        <v>0.161572052401747</v>
      </c>
      <c r="L12" s="15">
        <v>192.0</v>
      </c>
    </row>
    <row r="13" customHeight="1" ht="15.0">
      <c r="A13" s="1" t="s">
        <v>1063</v>
      </c>
      <c r="B13" s="1" t="s">
        <v>20</v>
      </c>
      <c r="C13" s="1" t="s">
        <v>1040</v>
      </c>
      <c r="D13" s="1" t="s">
        <v>1041</v>
      </c>
      <c r="E13" s="26" t="s">
        <v>1072</v>
      </c>
      <c r="F13" s="26" t="s">
        <v>1073</v>
      </c>
      <c r="G13" s="1" t="s">
        <v>1044</v>
      </c>
      <c r="H13" s="1" t="s">
        <v>1045</v>
      </c>
      <c r="I13" s="1" t="s">
        <v>56</v>
      </c>
      <c r="J13" s="15">
        <v>339.0</v>
      </c>
      <c r="K13" s="3">
        <f t="shared" si="0"/>
        <v>0.15929203539823</v>
      </c>
      <c r="L13" s="15">
        <v>285.0</v>
      </c>
    </row>
    <row r="14" customHeight="1" ht="15.0">
      <c r="A14" s="1" t="s">
        <v>1063</v>
      </c>
      <c r="B14" s="1" t="s">
        <v>20</v>
      </c>
      <c r="C14" s="1" t="s">
        <v>1040</v>
      </c>
      <c r="D14" s="1" t="s">
        <v>1041</v>
      </c>
      <c r="E14" s="26" t="s">
        <v>1074</v>
      </c>
      <c r="F14" s="26" t="s">
        <v>1075</v>
      </c>
      <c r="G14" s="1" t="s">
        <v>1044</v>
      </c>
      <c r="H14" s="1" t="s">
        <v>1076</v>
      </c>
      <c r="I14" s="1" t="s">
        <v>56</v>
      </c>
      <c r="J14" s="15">
        <v>359.0</v>
      </c>
      <c r="K14" s="3">
        <f t="shared" si="0"/>
        <v>0.139275766016713</v>
      </c>
      <c r="L14" s="15">
        <v>309.0</v>
      </c>
    </row>
    <row r="15" customHeight="1" ht="15.0">
      <c r="A15" s="1" t="s">
        <v>1063</v>
      </c>
      <c r="B15" s="1" t="s">
        <v>20</v>
      </c>
      <c r="C15" s="1" t="s">
        <v>1040</v>
      </c>
      <c r="D15" s="1" t="s">
        <v>1041</v>
      </c>
      <c r="E15" s="26" t="s">
        <v>1077</v>
      </c>
      <c r="F15" s="26" t="s">
        <v>1078</v>
      </c>
      <c r="G15" s="1" t="s">
        <v>1044</v>
      </c>
      <c r="H15" s="1" t="s">
        <v>1045</v>
      </c>
      <c r="I15" s="1" t="s">
        <v>56</v>
      </c>
      <c r="J15" s="15">
        <v>709.0</v>
      </c>
      <c r="K15" s="3">
        <f t="shared" si="0"/>
        <v>0.128349788434415</v>
      </c>
      <c r="L15" s="15">
        <v>618.0</v>
      </c>
    </row>
    <row r="16" customHeight="1" ht="15.0">
      <c r="A16" s="1" t="s">
        <v>1063</v>
      </c>
      <c r="B16" s="1" t="s">
        <v>20</v>
      </c>
      <c r="C16" s="1" t="s">
        <v>1040</v>
      </c>
      <c r="D16" s="1" t="s">
        <v>1041</v>
      </c>
      <c r="E16" s="26" t="s">
        <v>1079</v>
      </c>
      <c r="F16" s="26" t="s">
        <v>1080</v>
      </c>
      <c r="G16" s="1" t="s">
        <v>1044</v>
      </c>
      <c r="H16" s="1" t="s">
        <v>1045</v>
      </c>
      <c r="I16" s="1" t="s">
        <v>56</v>
      </c>
      <c r="J16" s="15">
        <v>169.0</v>
      </c>
      <c r="K16" s="3">
        <f t="shared" si="0"/>
        <v>0.177514792899407</v>
      </c>
      <c r="L16" s="15">
        <v>139.0</v>
      </c>
    </row>
    <row r="17" customHeight="1" ht="15.0">
      <c r="A17" s="1" t="s">
        <v>1063</v>
      </c>
      <c r="B17" s="1" t="s">
        <v>20</v>
      </c>
      <c r="C17" s="1" t="s">
        <v>1040</v>
      </c>
      <c r="D17" s="1" t="s">
        <v>1081</v>
      </c>
      <c r="E17" s="26" t="s">
        <v>1082</v>
      </c>
      <c r="F17" s="26" t="s">
        <v>1083</v>
      </c>
      <c r="G17" s="1" t="s">
        <v>1084</v>
      </c>
      <c r="H17" s="1" t="s">
        <v>1085</v>
      </c>
      <c r="J17" s="15">
        <v>1039.0</v>
      </c>
      <c r="K17" s="3">
        <f t="shared" si="0"/>
        <v>0.115495668912416</v>
      </c>
      <c r="L17" s="15">
        <v>919.0</v>
      </c>
    </row>
    <row r="18" customHeight="1" ht="15.0">
      <c r="A18" s="1" t="s">
        <v>1063</v>
      </c>
      <c r="B18" s="1" t="s">
        <v>20</v>
      </c>
      <c r="C18" s="1" t="s">
        <v>1040</v>
      </c>
      <c r="D18" s="1" t="s">
        <v>1086</v>
      </c>
      <c r="E18" s="26" t="s">
        <v>1087</v>
      </c>
      <c r="F18" s="26" t="s">
        <v>1088</v>
      </c>
      <c r="G18" s="1" t="s">
        <v>1044</v>
      </c>
      <c r="H18" s="1" t="s">
        <v>1076</v>
      </c>
      <c r="J18" s="15">
        <v>249.0</v>
      </c>
      <c r="K18" s="3">
        <f t="shared" si="0"/>
        <v>0.168674698795181</v>
      </c>
      <c r="L18" s="15">
        <v>207.0</v>
      </c>
    </row>
    <row r="19" customHeight="1" ht="15.0">
      <c r="A19" s="1" t="s">
        <v>1063</v>
      </c>
      <c r="B19" s="1" t="s">
        <v>20</v>
      </c>
      <c r="C19" s="1" t="s">
        <v>1040</v>
      </c>
      <c r="D19" s="1" t="s">
        <v>1086</v>
      </c>
      <c r="E19" s="26" t="s">
        <v>1089</v>
      </c>
      <c r="F19" s="26" t="s">
        <v>1090</v>
      </c>
      <c r="G19" s="1" t="s">
        <v>1044</v>
      </c>
      <c r="H19" s="1" t="s">
        <v>1091</v>
      </c>
      <c r="J19" s="15">
        <v>299.0</v>
      </c>
      <c r="K19" s="3">
        <f t="shared" si="0"/>
        <v>0.153846153846153</v>
      </c>
      <c r="L19" s="15">
        <v>253.0</v>
      </c>
    </row>
    <row r="20" customHeight="1" ht="15.0">
      <c r="A20" s="1" t="s">
        <v>1039</v>
      </c>
      <c r="B20" s="1" t="s">
        <v>20</v>
      </c>
      <c r="C20" s="1" t="s">
        <v>1040</v>
      </c>
      <c r="D20" s="1" t="s">
        <v>1086</v>
      </c>
      <c r="E20" s="26" t="s">
        <v>1092</v>
      </c>
      <c r="F20" s="26" t="s">
        <v>1093</v>
      </c>
      <c r="G20" s="1" t="s">
        <v>1044</v>
      </c>
      <c r="H20" s="1" t="s">
        <v>1094</v>
      </c>
      <c r="J20" s="15">
        <v>169.0</v>
      </c>
      <c r="K20" s="3">
        <f t="shared" si="0"/>
        <v>0.236686390532544</v>
      </c>
      <c r="L20" s="15">
        <v>129.0</v>
      </c>
    </row>
    <row r="21" customHeight="1" ht="15.0">
      <c r="A21" s="1" t="s">
        <v>1039</v>
      </c>
      <c r="B21" s="1" t="s">
        <v>20</v>
      </c>
      <c r="C21" s="1" t="s">
        <v>1040</v>
      </c>
      <c r="D21" s="1" t="s">
        <v>1086</v>
      </c>
      <c r="E21" s="26" t="s">
        <v>1092</v>
      </c>
      <c r="F21" s="26" t="s">
        <v>1095</v>
      </c>
      <c r="G21" s="1" t="s">
        <v>1044</v>
      </c>
      <c r="H21" s="1" t="s">
        <v>1076</v>
      </c>
      <c r="J21" s="15">
        <v>233.1</v>
      </c>
      <c r="K21" s="3">
        <f t="shared" si="0"/>
        <v>0.253539253539254</v>
      </c>
      <c r="L21" s="15">
        <v>174.0</v>
      </c>
    </row>
    <row r="22" customHeight="1" ht="15.0">
      <c r="A22" s="1" t="s">
        <v>1039</v>
      </c>
      <c r="B22" s="1" t="s">
        <v>20</v>
      </c>
      <c r="C22" s="1" t="s">
        <v>1040</v>
      </c>
      <c r="D22" s="1" t="s">
        <v>1086</v>
      </c>
      <c r="E22" s="26" t="s">
        <v>1092</v>
      </c>
      <c r="F22" s="26" t="s">
        <v>1096</v>
      </c>
      <c r="G22" s="1" t="s">
        <v>1044</v>
      </c>
      <c r="H22" s="1" t="s">
        <v>1091</v>
      </c>
      <c r="J22" s="15">
        <v>251.1</v>
      </c>
      <c r="K22" s="3">
        <f t="shared" si="0"/>
        <v>0.243329350856231</v>
      </c>
      <c r="L22" s="15">
        <v>190.0</v>
      </c>
    </row>
    <row r="23" customHeight="1" ht="15.0">
      <c r="A23" s="1" t="s">
        <v>1039</v>
      </c>
      <c r="B23" s="1" t="s">
        <v>1058</v>
      </c>
      <c r="C23" s="1" t="s">
        <v>1040</v>
      </c>
      <c r="D23" s="1" t="s">
        <v>1059</v>
      </c>
      <c r="E23" s="26" t="s">
        <v>1097</v>
      </c>
      <c r="F23" s="26" t="s">
        <v>1098</v>
      </c>
      <c r="G23" s="1" t="s">
        <v>1044</v>
      </c>
      <c r="H23" s="1" t="s">
        <v>1062</v>
      </c>
      <c r="J23" s="15">
        <v>239.0</v>
      </c>
      <c r="K23" s="3">
        <f t="shared" si="0"/>
        <v>0.539748953974896</v>
      </c>
      <c r="L23" s="15">
        <v>110.0</v>
      </c>
      <c r="M23" s="1" t="s">
        <v>1099</v>
      </c>
    </row>
    <row r="24" customHeight="1" ht="15.0">
      <c r="A24" s="1" t="s">
        <v>1039</v>
      </c>
      <c r="B24" s="1" t="s">
        <v>1058</v>
      </c>
      <c r="C24" s="1" t="s">
        <v>1040</v>
      </c>
      <c r="D24" s="1" t="s">
        <v>1059</v>
      </c>
      <c r="E24" s="26" t="s">
        <v>1100</v>
      </c>
      <c r="F24" s="26" t="s">
        <v>1101</v>
      </c>
      <c r="G24" s="1" t="s">
        <v>1044</v>
      </c>
      <c r="H24" s="1" t="s">
        <v>1102</v>
      </c>
      <c r="J24" s="15">
        <v>339.0</v>
      </c>
      <c r="K24" s="3">
        <f t="shared" si="0"/>
        <v>0.23598820058997</v>
      </c>
      <c r="L24" s="15">
        <v>259.0</v>
      </c>
    </row>
    <row r="25" customHeight="1" ht="15.0">
      <c r="A25" s="1" t="s">
        <v>1039</v>
      </c>
      <c r="B25" s="1" t="s">
        <v>1058</v>
      </c>
      <c r="C25" s="1" t="s">
        <v>1040</v>
      </c>
      <c r="D25" s="1" t="s">
        <v>1059</v>
      </c>
      <c r="E25" s="26" t="s">
        <v>1103</v>
      </c>
      <c r="F25" s="26" t="s">
        <v>1104</v>
      </c>
      <c r="G25" s="1" t="s">
        <v>1044</v>
      </c>
      <c r="H25" s="1" t="s">
        <v>1102</v>
      </c>
      <c r="J25" s="15">
        <v>369.0</v>
      </c>
      <c r="K25" s="3">
        <f t="shared" si="0"/>
        <v>0.271002710027098</v>
      </c>
      <c r="L25" s="15">
        <v>269.0</v>
      </c>
    </row>
    <row r="26" customHeight="1" ht="15.0">
      <c r="A26" s="1" t="s">
        <v>1039</v>
      </c>
      <c r="B26" s="1" t="s">
        <v>1058</v>
      </c>
      <c r="C26" s="1" t="s">
        <v>1040</v>
      </c>
      <c r="D26" s="1" t="s">
        <v>1059</v>
      </c>
      <c r="E26" s="26" t="s">
        <v>1105</v>
      </c>
      <c r="F26" s="26" t="s">
        <v>1106</v>
      </c>
      <c r="G26" s="1" t="s">
        <v>1044</v>
      </c>
      <c r="H26" s="1" t="s">
        <v>1062</v>
      </c>
      <c r="J26" s="15">
        <v>279.0</v>
      </c>
      <c r="K26" s="3">
        <f t="shared" si="0"/>
        <v>0.250896057347668</v>
      </c>
      <c r="L26" s="15">
        <v>209.0</v>
      </c>
    </row>
    <row r="27" customHeight="1" ht="15.0">
      <c r="A27" s="1" t="s">
        <v>1039</v>
      </c>
      <c r="B27" s="1" t="s">
        <v>20</v>
      </c>
      <c r="C27" s="1" t="s">
        <v>1040</v>
      </c>
      <c r="D27" s="1" t="s">
        <v>1059</v>
      </c>
      <c r="E27" s="26" t="s">
        <v>1107</v>
      </c>
      <c r="F27" s="26" t="s">
        <v>1108</v>
      </c>
      <c r="G27" s="1" t="s">
        <v>1044</v>
      </c>
      <c r="H27" s="1" t="s">
        <v>1102</v>
      </c>
      <c r="J27" s="15">
        <v>439.0</v>
      </c>
      <c r="K27" s="3">
        <f t="shared" si="0"/>
        <v>0.318906605922551</v>
      </c>
      <c r="L27" s="15">
        <v>299.0</v>
      </c>
    </row>
    <row r="28" customHeight="1" ht="15.0">
      <c r="A28" s="1" t="s">
        <v>1039</v>
      </c>
      <c r="B28" s="1" t="s">
        <v>1058</v>
      </c>
      <c r="C28" s="1" t="s">
        <v>1040</v>
      </c>
      <c r="D28" s="1" t="s">
        <v>1041</v>
      </c>
      <c r="E28" s="26" t="s">
        <v>1109</v>
      </c>
      <c r="F28" s="26" t="s">
        <v>1110</v>
      </c>
      <c r="G28" s="1" t="s">
        <v>1044</v>
      </c>
      <c r="H28" s="1" t="s">
        <v>1045</v>
      </c>
      <c r="I28" s="1" t="s">
        <v>56</v>
      </c>
      <c r="J28" s="15">
        <v>679.0</v>
      </c>
      <c r="K28" s="3">
        <f t="shared" si="0"/>
        <v>0.250368188512517</v>
      </c>
      <c r="L28" s="15">
        <v>509.0</v>
      </c>
    </row>
    <row r="29" customHeight="1" ht="15.0">
      <c r="A29" s="1" t="s">
        <v>1039</v>
      </c>
      <c r="B29" s="1" t="s">
        <v>1058</v>
      </c>
      <c r="C29" s="1" t="s">
        <v>1040</v>
      </c>
      <c r="D29" s="1" t="s">
        <v>1059</v>
      </c>
      <c r="E29" s="26" t="s">
        <v>1111</v>
      </c>
      <c r="F29" s="26" t="s">
        <v>1112</v>
      </c>
      <c r="G29" s="1" t="s">
        <v>1044</v>
      </c>
      <c r="H29" s="1" t="s">
        <v>1062</v>
      </c>
      <c r="J29" s="15">
        <v>289.0</v>
      </c>
      <c r="K29" s="3">
        <f t="shared" si="0"/>
        <v>0.242214532871972</v>
      </c>
      <c r="L29" s="15">
        <v>219.0</v>
      </c>
    </row>
    <row r="30" customHeight="1" ht="15.0">
      <c r="A30" s="1" t="s">
        <v>1039</v>
      </c>
      <c r="B30" s="1" t="s">
        <v>20</v>
      </c>
      <c r="C30" s="1" t="s">
        <v>1040</v>
      </c>
      <c r="D30" s="1" t="s">
        <v>1059</v>
      </c>
      <c r="E30" s="26" t="s">
        <v>1113</v>
      </c>
      <c r="F30" s="26" t="s">
        <v>1114</v>
      </c>
      <c r="G30" s="1" t="s">
        <v>1044</v>
      </c>
      <c r="H30" s="1" t="s">
        <v>1115</v>
      </c>
      <c r="J30" s="15">
        <v>409.0</v>
      </c>
      <c r="K30" s="3">
        <f t="shared" si="0"/>
        <v>0.244498777506112</v>
      </c>
      <c r="L30" s="15">
        <v>309.0</v>
      </c>
    </row>
    <row r="31" customHeight="1" ht="15.0">
      <c r="A31" s="1" t="s">
        <v>1039</v>
      </c>
      <c r="B31" s="1" t="s">
        <v>1058</v>
      </c>
      <c r="C31" s="1" t="s">
        <v>1040</v>
      </c>
      <c r="D31" s="1" t="s">
        <v>1059</v>
      </c>
      <c r="E31" s="26" t="s">
        <v>1116</v>
      </c>
      <c r="F31" s="26" t="s">
        <v>1117</v>
      </c>
      <c r="G31" s="1" t="s">
        <v>1044</v>
      </c>
      <c r="H31" s="1" t="s">
        <v>1045</v>
      </c>
      <c r="I31" s="1" t="s">
        <v>32</v>
      </c>
      <c r="J31" s="15">
        <v>349.0</v>
      </c>
      <c r="K31" s="3">
        <f t="shared" si="0"/>
        <v>0.286532951289399</v>
      </c>
      <c r="L31" s="15">
        <v>249.0</v>
      </c>
    </row>
    <row r="32" customHeight="1" ht="15.0">
      <c r="A32" s="1" t="s">
        <v>1039</v>
      </c>
      <c r="B32" s="1" t="s">
        <v>20</v>
      </c>
      <c r="C32" s="1" t="s">
        <v>1040</v>
      </c>
      <c r="D32" s="1" t="s">
        <v>1118</v>
      </c>
      <c r="E32" s="26" t="s">
        <v>1119</v>
      </c>
      <c r="F32" s="26" t="s">
        <v>1120</v>
      </c>
      <c r="G32" s="1" t="s">
        <v>1044</v>
      </c>
      <c r="H32" s="1" t="s">
        <v>1045</v>
      </c>
      <c r="J32" s="15">
        <v>759.0</v>
      </c>
      <c r="K32" s="3">
        <f t="shared" si="0"/>
        <v>0.316205533596838</v>
      </c>
      <c r="L32" s="15">
        <v>519.0</v>
      </c>
    </row>
    <row r="33" customHeight="1" ht="15.0">
      <c r="A33" s="1" t="s">
        <v>1039</v>
      </c>
      <c r="B33" s="1" t="s">
        <v>1058</v>
      </c>
      <c r="C33" s="1" t="s">
        <v>1040</v>
      </c>
      <c r="D33" s="1" t="s">
        <v>1121</v>
      </c>
      <c r="E33" s="26" t="s">
        <v>1122</v>
      </c>
      <c r="F33" s="26" t="s">
        <v>1123</v>
      </c>
      <c r="G33" s="1" t="s">
        <v>1044</v>
      </c>
      <c r="H33" s="1" t="s">
        <v>1062</v>
      </c>
      <c r="J33" s="15">
        <v>159.0</v>
      </c>
      <c r="K33" s="3">
        <f t="shared" si="0"/>
        <v>0.188679245283019</v>
      </c>
      <c r="L33" s="15">
        <v>129.0</v>
      </c>
    </row>
    <row r="34" customHeight="1" ht="15.0">
      <c r="A34" s="1" t="s">
        <v>1039</v>
      </c>
      <c r="B34" s="1" t="s">
        <v>1058</v>
      </c>
      <c r="C34" s="1" t="s">
        <v>1040</v>
      </c>
      <c r="D34" s="1" t="s">
        <v>1121</v>
      </c>
      <c r="E34" s="26" t="s">
        <v>1124</v>
      </c>
      <c r="F34" s="26" t="s">
        <v>1125</v>
      </c>
      <c r="G34" s="1" t="s">
        <v>1044</v>
      </c>
      <c r="H34" s="1" t="s">
        <v>1102</v>
      </c>
      <c r="J34" s="15">
        <v>249.0</v>
      </c>
      <c r="K34" s="3">
        <f t="shared" si="0"/>
        <v>0.200803212851406</v>
      </c>
      <c r="L34" s="15">
        <v>199.0</v>
      </c>
    </row>
    <row r="35" customHeight="1" ht="15.0">
      <c r="A35" s="1" t="s">
        <v>1039</v>
      </c>
      <c r="B35" s="1" t="s">
        <v>20</v>
      </c>
      <c r="C35" s="1" t="s">
        <v>1040</v>
      </c>
      <c r="D35" s="1" t="s">
        <v>1118</v>
      </c>
      <c r="E35" s="26" t="s">
        <v>1126</v>
      </c>
      <c r="F35" s="26" t="s">
        <v>1127</v>
      </c>
      <c r="G35" s="1" t="s">
        <v>1044</v>
      </c>
      <c r="H35" s="1" t="s">
        <v>1045</v>
      </c>
      <c r="J35" s="15">
        <v>449.0</v>
      </c>
      <c r="K35" s="3">
        <f t="shared" si="0"/>
        <v>0.289532293986637</v>
      </c>
      <c r="L35" s="15">
        <v>319.0</v>
      </c>
    </row>
    <row r="36" customHeight="1" ht="15.0">
      <c r="A36" s="1" t="s">
        <v>1039</v>
      </c>
      <c r="B36" s="1" t="s">
        <v>20</v>
      </c>
      <c r="C36" s="1" t="s">
        <v>1040</v>
      </c>
      <c r="D36" s="1" t="s">
        <v>1041</v>
      </c>
      <c r="E36" s="26" t="s">
        <v>1128</v>
      </c>
      <c r="F36" s="26" t="s">
        <v>1129</v>
      </c>
      <c r="G36" s="1" t="s">
        <v>1044</v>
      </c>
      <c r="H36" s="1" t="s">
        <v>1045</v>
      </c>
      <c r="I36" s="1" t="s">
        <v>32</v>
      </c>
      <c r="J36" s="15">
        <v>179.0</v>
      </c>
      <c r="K36" s="3">
        <f t="shared" si="0"/>
        <v>0.201117318435753</v>
      </c>
      <c r="L36" s="15">
        <v>143.0</v>
      </c>
    </row>
    <row r="37" customHeight="1" ht="15.0">
      <c r="A37" s="1" t="s">
        <v>1039</v>
      </c>
      <c r="B37" s="1" t="s">
        <v>20</v>
      </c>
      <c r="C37" s="1" t="s">
        <v>1040</v>
      </c>
      <c r="D37" s="1" t="s">
        <v>1118</v>
      </c>
      <c r="E37" s="26" t="s">
        <v>1130</v>
      </c>
      <c r="F37" s="26" t="s">
        <v>1131</v>
      </c>
      <c r="G37" s="1" t="s">
        <v>1044</v>
      </c>
      <c r="H37" s="1" t="s">
        <v>1045</v>
      </c>
      <c r="J37" s="15">
        <v>619.0</v>
      </c>
      <c r="K37" s="3">
        <f t="shared" si="0"/>
        <v>0.306946688206784</v>
      </c>
      <c r="L37" s="15">
        <v>429.0</v>
      </c>
    </row>
    <row r="38" customHeight="1" ht="15.0">
      <c r="A38" s="1" t="s">
        <v>1063</v>
      </c>
      <c r="B38" s="1" t="s">
        <v>20</v>
      </c>
      <c r="C38" s="1" t="s">
        <v>1040</v>
      </c>
      <c r="D38" s="1" t="s">
        <v>1041</v>
      </c>
      <c r="E38" s="26" t="s">
        <v>1132</v>
      </c>
      <c r="F38" s="26" t="s">
        <v>1133</v>
      </c>
      <c r="G38" s="1" t="s">
        <v>1044</v>
      </c>
      <c r="H38" s="1" t="s">
        <v>1045</v>
      </c>
      <c r="I38" s="1" t="s">
        <v>56</v>
      </c>
      <c r="J38" s="15">
        <v>339.0</v>
      </c>
      <c r="K38" s="3">
        <f t="shared" si="0"/>
        <v>0.141592920353981</v>
      </c>
      <c r="L38" s="15">
        <v>291.0</v>
      </c>
    </row>
    <row r="39" customHeight="1" ht="15.0">
      <c r="A39" s="1" t="s">
        <v>1039</v>
      </c>
      <c r="B39" s="1" t="s">
        <v>20</v>
      </c>
      <c r="C39" s="1" t="s">
        <v>1040</v>
      </c>
      <c r="D39" s="1" t="s">
        <v>1041</v>
      </c>
      <c r="E39" s="26" t="s">
        <v>1134</v>
      </c>
      <c r="F39" s="26" t="s">
        <v>1135</v>
      </c>
      <c r="G39" s="1" t="s">
        <v>1044</v>
      </c>
      <c r="H39" s="1" t="s">
        <v>1045</v>
      </c>
      <c r="J39" s="15">
        <v>389.0</v>
      </c>
      <c r="K39" s="3">
        <f t="shared" si="0"/>
        <v>0.231362467866323</v>
      </c>
      <c r="L39" s="15">
        <v>299.0</v>
      </c>
      <c r="M39" s="1" t="s">
        <v>1050</v>
      </c>
    </row>
    <row r="40" customHeight="1" ht="15.0">
      <c r="A40" s="1" t="s">
        <v>1136</v>
      </c>
      <c r="B40" s="1" t="s">
        <v>1137</v>
      </c>
      <c r="C40" s="1" t="s">
        <v>1040</v>
      </c>
      <c r="D40" s="1" t="s">
        <v>1138</v>
      </c>
      <c r="E40" s="1" t="s">
        <v>1139</v>
      </c>
      <c r="F40" s="1" t="s">
        <v>1140</v>
      </c>
      <c r="G40" s="1" t="s">
        <v>1044</v>
      </c>
      <c r="H40" s="1" t="s">
        <v>1062</v>
      </c>
      <c r="I40" s="1" t="s">
        <v>32</v>
      </c>
      <c r="J40" s="15">
        <v>209.0</v>
      </c>
      <c r="K40" s="3">
        <f t="shared" si="0"/>
        <v>0.287081339712919</v>
      </c>
      <c r="L40" s="15">
        <v>149.0</v>
      </c>
    </row>
    <row r="41" customHeight="1" ht="15.0">
      <c r="A41" s="1" t="s">
        <v>1136</v>
      </c>
      <c r="B41" s="1" t="s">
        <v>1141</v>
      </c>
      <c r="C41" s="1" t="s">
        <v>1040</v>
      </c>
      <c r="D41" s="1" t="s">
        <v>1138</v>
      </c>
      <c r="E41" s="1" t="s">
        <v>1139</v>
      </c>
      <c r="F41" s="1" t="s">
        <v>1140</v>
      </c>
      <c r="G41" s="1" t="s">
        <v>1044</v>
      </c>
      <c r="H41" s="1" t="s">
        <v>1062</v>
      </c>
      <c r="I41" s="1" t="s">
        <v>32</v>
      </c>
      <c r="J41" s="15">
        <v>209.0</v>
      </c>
      <c r="K41" s="3">
        <f t="shared" si="0"/>
        <v>0.239234449760766</v>
      </c>
      <c r="L41" s="15">
        <v>159.0</v>
      </c>
    </row>
    <row r="42" customHeight="1" ht="15.0">
      <c r="A42" s="1" t="s">
        <v>1136</v>
      </c>
      <c r="B42" s="1" t="s">
        <v>1142</v>
      </c>
      <c r="C42" s="1" t="s">
        <v>1040</v>
      </c>
      <c r="D42" s="1" t="s">
        <v>1138</v>
      </c>
      <c r="E42" s="1" t="s">
        <v>1139</v>
      </c>
      <c r="F42" s="1" t="s">
        <v>1140</v>
      </c>
      <c r="G42" s="1" t="s">
        <v>1044</v>
      </c>
      <c r="H42" s="1" t="s">
        <v>1062</v>
      </c>
      <c r="I42" s="1" t="s">
        <v>32</v>
      </c>
      <c r="J42" s="15">
        <v>209.0</v>
      </c>
      <c r="K42" s="3">
        <f t="shared" si="0"/>
        <v>0.301435406698564</v>
      </c>
      <c r="L42" s="15">
        <v>146.0</v>
      </c>
    </row>
    <row r="43" customHeight="1" ht="15.0">
      <c r="A43" s="1" t="s">
        <v>1136</v>
      </c>
      <c r="B43" s="1" t="s">
        <v>1137</v>
      </c>
      <c r="C43" s="1" t="s">
        <v>1040</v>
      </c>
      <c r="D43" s="1" t="s">
        <v>1138</v>
      </c>
      <c r="E43" s="1" t="s">
        <v>1143</v>
      </c>
      <c r="F43" s="1" t="s">
        <v>1144</v>
      </c>
      <c r="G43" s="1" t="s">
        <v>1044</v>
      </c>
      <c r="H43" s="1" t="s">
        <v>1062</v>
      </c>
      <c r="I43" s="1" t="s">
        <v>32</v>
      </c>
      <c r="J43" s="15">
        <v>139.0</v>
      </c>
      <c r="K43" s="3">
        <f t="shared" si="0"/>
        <v>0.287769784172661</v>
      </c>
      <c r="L43" s="15">
        <v>99.0</v>
      </c>
    </row>
    <row r="44" customHeight="1" ht="15.0">
      <c r="A44" s="1" t="s">
        <v>1136</v>
      </c>
      <c r="B44" s="1" t="s">
        <v>1141</v>
      </c>
      <c r="C44" s="1" t="s">
        <v>1040</v>
      </c>
      <c r="D44" s="1" t="s">
        <v>1138</v>
      </c>
      <c r="E44" s="1" t="s">
        <v>1143</v>
      </c>
      <c r="F44" s="1" t="s">
        <v>1144</v>
      </c>
      <c r="G44" s="1" t="s">
        <v>1044</v>
      </c>
      <c r="H44" s="1" t="s">
        <v>1062</v>
      </c>
      <c r="I44" s="1" t="s">
        <v>32</v>
      </c>
      <c r="J44" s="15">
        <v>139.0</v>
      </c>
      <c r="K44" s="3">
        <f t="shared" si="0"/>
        <v>0.215827338129495</v>
      </c>
      <c r="L44" s="15">
        <v>109.0</v>
      </c>
    </row>
    <row r="45" customHeight="1" ht="15.0">
      <c r="A45" s="1" t="s">
        <v>1136</v>
      </c>
      <c r="B45" s="1" t="s">
        <v>1142</v>
      </c>
      <c r="C45" s="1" t="s">
        <v>1040</v>
      </c>
      <c r="D45" s="1" t="s">
        <v>1138</v>
      </c>
      <c r="E45" s="1" t="s">
        <v>1143</v>
      </c>
      <c r="F45" s="1" t="s">
        <v>1144</v>
      </c>
      <c r="G45" s="1" t="s">
        <v>1044</v>
      </c>
      <c r="H45" s="1" t="s">
        <v>1062</v>
      </c>
      <c r="I45" s="1" t="s">
        <v>32</v>
      </c>
      <c r="J45" s="15">
        <v>139.0</v>
      </c>
      <c r="K45" s="3">
        <f t="shared" si="0"/>
        <v>0.309352517985611</v>
      </c>
      <c r="L45" s="15">
        <v>96.0</v>
      </c>
    </row>
    <row r="46" customHeight="1" ht="15.0">
      <c r="A46" s="1" t="s">
        <v>1039</v>
      </c>
      <c r="B46" s="1" t="s">
        <v>20</v>
      </c>
      <c r="C46" s="1" t="s">
        <v>1040</v>
      </c>
      <c r="D46" s="1" t="s">
        <v>1041</v>
      </c>
      <c r="E46" s="26" t="s">
        <v>1145</v>
      </c>
      <c r="F46" s="26" t="s">
        <v>1146</v>
      </c>
      <c r="G46" s="1" t="s">
        <v>1044</v>
      </c>
      <c r="H46" s="1" t="s">
        <v>1045</v>
      </c>
      <c r="I46" s="1" t="s">
        <v>32</v>
      </c>
      <c r="J46" s="15">
        <v>229.0</v>
      </c>
      <c r="K46" s="3">
        <f t="shared" si="0"/>
        <v>0.301310043668122</v>
      </c>
      <c r="L46" s="15">
        <v>160.0</v>
      </c>
    </row>
    <row r="47" customHeight="1" ht="15.0">
      <c r="A47" s="1" t="s">
        <v>1039</v>
      </c>
      <c r="B47" s="1" t="s">
        <v>20</v>
      </c>
      <c r="C47" s="1" t="s">
        <v>1040</v>
      </c>
      <c r="D47" s="1" t="s">
        <v>1041</v>
      </c>
      <c r="E47" s="26" t="s">
        <v>1147</v>
      </c>
      <c r="F47" s="26" t="s">
        <v>1148</v>
      </c>
      <c r="G47" s="1" t="s">
        <v>1044</v>
      </c>
      <c r="H47" s="1" t="s">
        <v>1045</v>
      </c>
      <c r="I47" s="1" t="s">
        <v>56</v>
      </c>
      <c r="J47" s="15">
        <v>339.0</v>
      </c>
      <c r="K47" s="3">
        <f t="shared" si="0"/>
        <v>0.294985250737462</v>
      </c>
      <c r="L47" s="15">
        <v>239.0</v>
      </c>
      <c r="M47" s="1" t="s">
        <v>1055</v>
      </c>
    </row>
    <row r="48" customHeight="1" ht="15.0">
      <c r="A48" s="1" t="s">
        <v>1063</v>
      </c>
      <c r="B48" s="1" t="s">
        <v>20</v>
      </c>
      <c r="C48" s="1" t="s">
        <v>1040</v>
      </c>
      <c r="D48" s="1" t="s">
        <v>1086</v>
      </c>
      <c r="E48" s="26" t="s">
        <v>1149</v>
      </c>
      <c r="F48" s="26" t="s">
        <v>1150</v>
      </c>
      <c r="G48" s="1" t="s">
        <v>1044</v>
      </c>
      <c r="H48" s="1" t="s">
        <v>1151</v>
      </c>
      <c r="J48" s="15">
        <v>709.0</v>
      </c>
      <c r="K48" s="3">
        <f t="shared" si="0"/>
        <v>0.118476727785614</v>
      </c>
      <c r="L48" s="15">
        <v>625.0</v>
      </c>
    </row>
    <row r="49" customHeight="1" ht="15.0">
      <c r="A49" s="1" t="s">
        <v>1063</v>
      </c>
      <c r="B49" s="1" t="s">
        <v>20</v>
      </c>
      <c r="C49" s="1" t="s">
        <v>1040</v>
      </c>
      <c r="D49" s="1" t="s">
        <v>1086</v>
      </c>
      <c r="E49" s="26" t="s">
        <v>1149</v>
      </c>
      <c r="F49" s="26" t="s">
        <v>1152</v>
      </c>
      <c r="G49" s="1" t="s">
        <v>1044</v>
      </c>
      <c r="H49" s="1" t="s">
        <v>1153</v>
      </c>
      <c r="J49" s="15">
        <v>2239.0</v>
      </c>
      <c r="K49" s="3">
        <f t="shared" si="0"/>
        <v>0.107190710138455</v>
      </c>
      <c r="L49" s="15">
        <v>1999.0</v>
      </c>
    </row>
    <row r="50" customHeight="1" ht="15.0">
      <c r="A50" s="1" t="s">
        <v>1136</v>
      </c>
      <c r="B50" s="1" t="s">
        <v>1137</v>
      </c>
      <c r="C50" s="1" t="s">
        <v>1040</v>
      </c>
      <c r="D50" s="1" t="s">
        <v>1154</v>
      </c>
      <c r="E50" s="1" t="s">
        <v>1155</v>
      </c>
      <c r="F50" s="1" t="s">
        <v>1156</v>
      </c>
      <c r="G50" s="1" t="s">
        <v>1044</v>
      </c>
      <c r="H50" s="1" t="s">
        <v>1062</v>
      </c>
      <c r="I50" s="1" t="s">
        <v>56</v>
      </c>
      <c r="J50" s="15">
        <v>219.0</v>
      </c>
      <c r="K50" s="3">
        <f t="shared" si="0"/>
        <v>0.273972602739726</v>
      </c>
      <c r="L50" s="15">
        <v>159.0</v>
      </c>
    </row>
    <row r="51" customHeight="1" ht="15.0">
      <c r="A51" s="1" t="s">
        <v>1136</v>
      </c>
      <c r="B51" s="1" t="s">
        <v>1141</v>
      </c>
      <c r="C51" s="1" t="s">
        <v>1040</v>
      </c>
      <c r="D51" s="1" t="s">
        <v>1154</v>
      </c>
      <c r="E51" s="1" t="s">
        <v>1155</v>
      </c>
      <c r="F51" s="1" t="s">
        <v>1156</v>
      </c>
      <c r="G51" s="1" t="s">
        <v>1044</v>
      </c>
      <c r="H51" s="1" t="s">
        <v>1062</v>
      </c>
      <c r="I51" s="1" t="s">
        <v>56</v>
      </c>
      <c r="J51" s="15">
        <v>219.0</v>
      </c>
      <c r="K51" s="3">
        <f t="shared" si="0"/>
        <v>0.228310502283105</v>
      </c>
      <c r="L51" s="15">
        <v>169.0</v>
      </c>
    </row>
    <row r="52" customHeight="1" ht="15.0">
      <c r="A52" s="1" t="s">
        <v>1136</v>
      </c>
      <c r="B52" s="1" t="s">
        <v>1142</v>
      </c>
      <c r="C52" s="1" t="s">
        <v>1040</v>
      </c>
      <c r="D52" s="1" t="s">
        <v>1154</v>
      </c>
      <c r="E52" s="1" t="s">
        <v>1155</v>
      </c>
      <c r="F52" s="1" t="s">
        <v>1156</v>
      </c>
      <c r="G52" s="1" t="s">
        <v>1044</v>
      </c>
      <c r="H52" s="1" t="s">
        <v>1062</v>
      </c>
      <c r="I52" s="1" t="s">
        <v>56</v>
      </c>
      <c r="J52" s="15">
        <v>219.0</v>
      </c>
      <c r="K52" s="3">
        <f t="shared" si="0"/>
        <v>0.273972602739726</v>
      </c>
      <c r="L52" s="15">
        <v>159.0</v>
      </c>
    </row>
    <row r="53" customHeight="1" ht="15.0">
      <c r="A53" s="1" t="s">
        <v>1136</v>
      </c>
      <c r="B53" s="1" t="s">
        <v>1142</v>
      </c>
      <c r="C53" s="1" t="s">
        <v>1040</v>
      </c>
      <c r="D53" s="1" t="s">
        <v>1154</v>
      </c>
      <c r="E53" s="1" t="s">
        <v>1157</v>
      </c>
      <c r="F53" s="1" t="s">
        <v>1158</v>
      </c>
      <c r="G53" s="1" t="s">
        <v>1044</v>
      </c>
      <c r="H53" s="1" t="s">
        <v>1062</v>
      </c>
      <c r="I53" s="1" t="s">
        <v>56</v>
      </c>
      <c r="J53" s="15">
        <v>159.0</v>
      </c>
      <c r="K53" s="3">
        <f t="shared" si="0"/>
        <v>0.314465408805031</v>
      </c>
      <c r="L53" s="15">
        <v>109.0</v>
      </c>
    </row>
    <row r="54" customHeight="1" ht="15.0">
      <c r="A54" s="1" t="s">
        <v>1136</v>
      </c>
      <c r="B54" s="1" t="s">
        <v>1137</v>
      </c>
      <c r="C54" s="1" t="s">
        <v>1040</v>
      </c>
      <c r="D54" s="1" t="s">
        <v>1154</v>
      </c>
      <c r="E54" s="1" t="s">
        <v>1159</v>
      </c>
      <c r="F54" s="1" t="s">
        <v>1160</v>
      </c>
      <c r="G54" s="1" t="s">
        <v>1044</v>
      </c>
      <c r="H54" s="1" t="s">
        <v>1062</v>
      </c>
      <c r="I54" s="1" t="s">
        <v>56</v>
      </c>
      <c r="J54" s="15">
        <v>149.0</v>
      </c>
      <c r="K54" s="3">
        <f t="shared" si="0"/>
        <v>0.335570469798658</v>
      </c>
      <c r="L54" s="15">
        <v>99.0</v>
      </c>
    </row>
    <row r="55" ht="17.0">
      <c r="A55" s="1" t="s">
        <v>1136</v>
      </c>
      <c r="B55" s="1" t="s">
        <v>1141</v>
      </c>
      <c r="C55" s="1" t="s">
        <v>1040</v>
      </c>
      <c r="D55" s="1" t="s">
        <v>1154</v>
      </c>
      <c r="E55" s="1" t="s">
        <v>1159</v>
      </c>
      <c r="F55" s="1" t="s">
        <v>1160</v>
      </c>
      <c r="G55" s="1" t="s">
        <v>1044</v>
      </c>
      <c r="H55" s="1" t="s">
        <v>1062</v>
      </c>
      <c r="I55" s="1" t="s">
        <v>56</v>
      </c>
      <c r="J55" s="15">
        <v>149.0</v>
      </c>
      <c r="K55" s="3">
        <f t="shared" si="0"/>
        <v>0.523489932885907</v>
      </c>
      <c r="L55" s="15">
        <v>71.0</v>
      </c>
    </row>
    <row r="56" ht="17.0">
      <c r="A56" s="1" t="s">
        <v>1161</v>
      </c>
      <c r="B56" s="1" t="s">
        <v>1162</v>
      </c>
      <c r="C56" s="1" t="s">
        <v>1040</v>
      </c>
      <c r="D56" s="1" t="s">
        <v>195</v>
      </c>
      <c r="E56" s="1" t="s">
        <v>1163</v>
      </c>
      <c r="F56" s="1" t="s">
        <v>1164</v>
      </c>
      <c r="G56" s="1" t="s">
        <v>1044</v>
      </c>
      <c r="H56" s="1" t="s">
        <v>1165</v>
      </c>
      <c r="I56" s="1" t="s">
        <v>32</v>
      </c>
      <c r="J56" s="15">
        <v>339.0</v>
      </c>
      <c r="K56" s="3">
        <f t="shared" si="0"/>
        <v>0.221238938053098</v>
      </c>
      <c r="L56" s="15">
        <v>264.0</v>
      </c>
    </row>
    <row r="57" ht="17.0">
      <c r="A57" s="1" t="s">
        <v>1161</v>
      </c>
      <c r="B57" s="1" t="s">
        <v>1166</v>
      </c>
      <c r="C57" s="1" t="s">
        <v>1040</v>
      </c>
      <c r="D57" s="1" t="s">
        <v>195</v>
      </c>
      <c r="E57" s="1" t="s">
        <v>1163</v>
      </c>
      <c r="F57" s="1" t="s">
        <v>1164</v>
      </c>
      <c r="G57" s="1" t="s">
        <v>1044</v>
      </c>
      <c r="H57" s="1" t="s">
        <v>1165</v>
      </c>
      <c r="I57" s="1" t="s">
        <v>32</v>
      </c>
      <c r="J57" s="15">
        <v>339.0</v>
      </c>
      <c r="K57" s="3">
        <f t="shared" si="0"/>
        <v>0.19174041297935</v>
      </c>
      <c r="L57" s="15">
        <v>274.0</v>
      </c>
    </row>
    <row r="58" ht="17.0">
      <c r="A58" s="1" t="s">
        <v>1161</v>
      </c>
      <c r="B58" s="1" t="s">
        <v>1167</v>
      </c>
      <c r="C58" s="1" t="s">
        <v>1040</v>
      </c>
      <c r="D58" s="1" t="s">
        <v>195</v>
      </c>
      <c r="E58" s="1" t="s">
        <v>1163</v>
      </c>
      <c r="F58" s="1" t="s">
        <v>1164</v>
      </c>
      <c r="G58" s="1" t="s">
        <v>1044</v>
      </c>
      <c r="H58" s="1" t="s">
        <v>1165</v>
      </c>
      <c r="I58" s="1" t="s">
        <v>32</v>
      </c>
      <c r="J58" s="15">
        <v>339.0</v>
      </c>
      <c r="K58" s="3">
        <f t="shared" si="0"/>
        <v>0.23598820058997</v>
      </c>
      <c r="L58" s="15">
        <v>259.0</v>
      </c>
    </row>
    <row r="59" ht="17.0">
      <c r="A59" s="1" t="s">
        <v>1161</v>
      </c>
      <c r="B59" s="1" t="s">
        <v>1162</v>
      </c>
      <c r="C59" s="1" t="s">
        <v>1040</v>
      </c>
      <c r="D59" s="1" t="s">
        <v>1138</v>
      </c>
      <c r="E59" s="1" t="s">
        <v>1168</v>
      </c>
      <c r="F59" s="1" t="s">
        <v>1169</v>
      </c>
      <c r="G59" s="1" t="s">
        <v>1044</v>
      </c>
      <c r="H59" s="1" t="s">
        <v>1165</v>
      </c>
      <c r="I59" s="1" t="s">
        <v>32</v>
      </c>
      <c r="J59" s="15">
        <v>249.0</v>
      </c>
      <c r="K59" s="3">
        <f t="shared" si="0"/>
        <v>0.200803212851406</v>
      </c>
      <c r="L59" s="15">
        <v>199.0</v>
      </c>
    </row>
    <row r="60" ht="17.0">
      <c r="A60" s="1" t="s">
        <v>1161</v>
      </c>
      <c r="B60" s="1" t="s">
        <v>1166</v>
      </c>
      <c r="C60" s="1" t="s">
        <v>1040</v>
      </c>
      <c r="D60" s="1" t="s">
        <v>1138</v>
      </c>
      <c r="E60" s="1" t="s">
        <v>1168</v>
      </c>
      <c r="F60" s="1" t="s">
        <v>1169</v>
      </c>
      <c r="G60" s="1" t="s">
        <v>1044</v>
      </c>
      <c r="H60" s="1" t="s">
        <v>1165</v>
      </c>
      <c r="I60" s="1" t="s">
        <v>32</v>
      </c>
      <c r="J60" s="15">
        <v>249.0</v>
      </c>
      <c r="K60" s="3">
        <f t="shared" si="0"/>
        <v>0.180722891566264</v>
      </c>
      <c r="L60" s="15">
        <v>204.0</v>
      </c>
    </row>
    <row r="61" ht="17.0">
      <c r="A61" s="1" t="s">
        <v>1161</v>
      </c>
      <c r="B61" s="1" t="s">
        <v>1167</v>
      </c>
      <c r="C61" s="1" t="s">
        <v>1040</v>
      </c>
      <c r="D61" s="1" t="s">
        <v>1138</v>
      </c>
      <c r="E61" s="1" t="s">
        <v>1168</v>
      </c>
      <c r="F61" s="1" t="s">
        <v>1169</v>
      </c>
      <c r="G61" s="1" t="s">
        <v>1044</v>
      </c>
      <c r="H61" s="1" t="s">
        <v>1165</v>
      </c>
      <c r="I61" s="1" t="s">
        <v>32</v>
      </c>
      <c r="J61" s="15">
        <v>249.0</v>
      </c>
      <c r="K61" s="3">
        <f t="shared" si="0"/>
        <v>0.220883534136547</v>
      </c>
      <c r="L61" s="15">
        <v>194.0</v>
      </c>
    </row>
    <row r="62" ht="17.0">
      <c r="A62" s="1" t="s">
        <v>1161</v>
      </c>
      <c r="B62" s="1" t="s">
        <v>1162</v>
      </c>
      <c r="C62" s="1" t="s">
        <v>1040</v>
      </c>
      <c r="D62" s="1" t="s">
        <v>195</v>
      </c>
      <c r="E62" s="1" t="s">
        <v>1170</v>
      </c>
      <c r="F62" s="1" t="s">
        <v>1171</v>
      </c>
      <c r="G62" s="1" t="s">
        <v>1044</v>
      </c>
      <c r="H62" s="1" t="s">
        <v>1062</v>
      </c>
      <c r="I62" s="1" t="s">
        <v>32</v>
      </c>
      <c r="J62" s="15">
        <v>169.0</v>
      </c>
      <c r="K62" s="3">
        <f t="shared" si="0"/>
        <v>0.218934911242604</v>
      </c>
      <c r="L62" s="15">
        <v>132.0</v>
      </c>
    </row>
    <row r="63" ht="17.0">
      <c r="A63" s="1" t="s">
        <v>1161</v>
      </c>
      <c r="B63" s="1" t="s">
        <v>1166</v>
      </c>
      <c r="C63" s="1" t="s">
        <v>1040</v>
      </c>
      <c r="D63" s="1" t="s">
        <v>195</v>
      </c>
      <c r="E63" s="1" t="s">
        <v>1170</v>
      </c>
      <c r="F63" s="1" t="s">
        <v>1171</v>
      </c>
      <c r="G63" s="1" t="s">
        <v>1044</v>
      </c>
      <c r="H63" s="1" t="s">
        <v>1062</v>
      </c>
      <c r="I63" s="1" t="s">
        <v>32</v>
      </c>
      <c r="J63" s="15">
        <v>169.0</v>
      </c>
      <c r="K63" s="3">
        <f t="shared" si="0"/>
        <v>0.189349112426036</v>
      </c>
      <c r="L63" s="15">
        <v>137.0</v>
      </c>
    </row>
    <row r="64" ht="17.0">
      <c r="A64" s="1" t="s">
        <v>1161</v>
      </c>
      <c r="B64" s="1" t="s">
        <v>1167</v>
      </c>
      <c r="C64" s="1" t="s">
        <v>1040</v>
      </c>
      <c r="D64" s="1" t="s">
        <v>195</v>
      </c>
      <c r="E64" s="1" t="s">
        <v>1170</v>
      </c>
      <c r="F64" s="1" t="s">
        <v>1171</v>
      </c>
      <c r="G64" s="1" t="s">
        <v>1044</v>
      </c>
      <c r="H64" s="1" t="s">
        <v>1062</v>
      </c>
      <c r="I64" s="1" t="s">
        <v>32</v>
      </c>
      <c r="J64" s="15">
        <v>169.0</v>
      </c>
      <c r="K64" s="3">
        <f t="shared" si="0"/>
        <v>0.233727810650888</v>
      </c>
      <c r="L64" s="15">
        <v>129.5</v>
      </c>
    </row>
    <row r="65" ht="17.0">
      <c r="A65" s="1" t="s">
        <v>1161</v>
      </c>
      <c r="B65" s="1" t="s">
        <v>1162</v>
      </c>
      <c r="C65" s="1" t="s">
        <v>1040</v>
      </c>
      <c r="D65" s="1" t="s">
        <v>1138</v>
      </c>
      <c r="E65" s="1" t="s">
        <v>1172</v>
      </c>
      <c r="F65" s="1" t="s">
        <v>1173</v>
      </c>
      <c r="G65" s="1" t="s">
        <v>1044</v>
      </c>
      <c r="H65" s="1" t="s">
        <v>1062</v>
      </c>
      <c r="I65" s="1" t="s">
        <v>32</v>
      </c>
      <c r="J65" s="15">
        <v>129.0</v>
      </c>
      <c r="K65" s="3">
        <f t="shared" si="0"/>
        <v>0.232558139534884</v>
      </c>
      <c r="L65" s="15">
        <v>99.0</v>
      </c>
    </row>
    <row r="66" ht="17.0">
      <c r="A66" s="1" t="s">
        <v>1161</v>
      </c>
      <c r="B66" s="1" t="s">
        <v>1166</v>
      </c>
      <c r="C66" s="1" t="s">
        <v>1040</v>
      </c>
      <c r="D66" s="1" t="s">
        <v>1138</v>
      </c>
      <c r="E66" s="1" t="s">
        <v>1172</v>
      </c>
      <c r="F66" s="1" t="s">
        <v>1173</v>
      </c>
      <c r="G66" s="1" t="s">
        <v>1044</v>
      </c>
      <c r="H66" s="1" t="s">
        <v>1062</v>
      </c>
      <c r="I66" s="1" t="s">
        <v>32</v>
      </c>
      <c r="J66" s="15">
        <v>129.0</v>
      </c>
      <c r="K66" s="3">
        <f t="shared" si="0"/>
        <v>0.209302325581396</v>
      </c>
      <c r="L66" s="15">
        <v>102.0</v>
      </c>
    </row>
    <row r="67" ht="17.0">
      <c r="A67" s="1" t="s">
        <v>1161</v>
      </c>
      <c r="B67" s="1" t="s">
        <v>1167</v>
      </c>
      <c r="C67" s="1" t="s">
        <v>1040</v>
      </c>
      <c r="D67" s="1" t="s">
        <v>1138</v>
      </c>
      <c r="E67" s="1" t="s">
        <v>1172</v>
      </c>
      <c r="F67" s="1" t="s">
        <v>1173</v>
      </c>
      <c r="G67" s="1" t="s">
        <v>1044</v>
      </c>
      <c r="H67" s="1" t="s">
        <v>1062</v>
      </c>
      <c r="I67" s="1" t="s">
        <v>32</v>
      </c>
      <c r="J67" s="15">
        <v>129.0</v>
      </c>
      <c r="K67" s="3">
        <f t="shared" si="0"/>
        <v>0.248062015503874</v>
      </c>
      <c r="L67" s="15">
        <v>97.0</v>
      </c>
    </row>
    <row r="68" ht="17.0">
      <c r="A68" s="1" t="s">
        <v>1174</v>
      </c>
      <c r="B68" s="1" t="s">
        <v>1162</v>
      </c>
      <c r="C68" s="1" t="s">
        <v>1040</v>
      </c>
      <c r="D68" s="1" t="s">
        <v>195</v>
      </c>
      <c r="E68" s="1" t="s">
        <v>1175</v>
      </c>
      <c r="F68" s="1" t="s">
        <v>1176</v>
      </c>
      <c r="G68" s="1" t="s">
        <v>1044</v>
      </c>
      <c r="H68" s="1" t="s">
        <v>1165</v>
      </c>
      <c r="I68" s="1" t="s">
        <v>32</v>
      </c>
      <c r="J68" s="15">
        <v>339.0</v>
      </c>
      <c r="K68" s="3">
        <f t="shared" si="0"/>
        <v>0.233038348082596</v>
      </c>
      <c r="L68" s="15">
        <v>260.0</v>
      </c>
    </row>
    <row r="69" ht="17.0">
      <c r="A69" s="1" t="s">
        <v>1174</v>
      </c>
      <c r="B69" s="1" t="s">
        <v>1166</v>
      </c>
      <c r="C69" s="1" t="s">
        <v>1040</v>
      </c>
      <c r="D69" s="1" t="s">
        <v>195</v>
      </c>
      <c r="E69" s="1" t="s">
        <v>1175</v>
      </c>
      <c r="F69" s="1" t="s">
        <v>1176</v>
      </c>
      <c r="G69" s="1" t="s">
        <v>1044</v>
      </c>
      <c r="H69" s="1" t="s">
        <v>1165</v>
      </c>
      <c r="I69" s="1" t="s">
        <v>32</v>
      </c>
      <c r="J69" s="15">
        <v>339.0</v>
      </c>
      <c r="K69" s="3">
        <f t="shared" si="0"/>
        <v>0.19174041297935</v>
      </c>
      <c r="L69" s="15">
        <v>274.0</v>
      </c>
    </row>
    <row r="70" ht="17.0">
      <c r="A70" s="1" t="s">
        <v>1174</v>
      </c>
      <c r="B70" s="1" t="s">
        <v>1167</v>
      </c>
      <c r="C70" s="1" t="s">
        <v>1040</v>
      </c>
      <c r="D70" s="1" t="s">
        <v>195</v>
      </c>
      <c r="E70" s="1" t="s">
        <v>1175</v>
      </c>
      <c r="F70" s="1" t="s">
        <v>1176</v>
      </c>
      <c r="G70" s="1" t="s">
        <v>1044</v>
      </c>
      <c r="H70" s="1" t="s">
        <v>1165</v>
      </c>
      <c r="I70" s="1" t="s">
        <v>32</v>
      </c>
      <c r="J70" s="15">
        <v>339.0</v>
      </c>
      <c r="K70" s="3">
        <f t="shared" si="0"/>
        <v>0.247787610619468</v>
      </c>
      <c r="L70" s="15">
        <v>255.0</v>
      </c>
    </row>
    <row r="71" ht="17.0">
      <c r="A71" s="1" t="s">
        <v>1174</v>
      </c>
      <c r="B71" s="1" t="s">
        <v>1162</v>
      </c>
      <c r="C71" s="1" t="s">
        <v>1040</v>
      </c>
      <c r="D71" s="1" t="s">
        <v>1138</v>
      </c>
      <c r="E71" s="1" t="s">
        <v>1177</v>
      </c>
      <c r="F71" s="1" t="s">
        <v>1178</v>
      </c>
      <c r="G71" s="1" t="s">
        <v>1044</v>
      </c>
      <c r="H71" s="1" t="s">
        <v>1165</v>
      </c>
      <c r="I71" s="1" t="s">
        <v>32</v>
      </c>
      <c r="J71" s="15">
        <v>249.0</v>
      </c>
      <c r="K71" s="3">
        <f t="shared" si="0"/>
        <v>0.200803212851406</v>
      </c>
      <c r="L71" s="15">
        <v>199.0</v>
      </c>
    </row>
    <row r="72" ht="17.0">
      <c r="A72" s="1" t="s">
        <v>1174</v>
      </c>
      <c r="B72" s="1" t="s">
        <v>1166</v>
      </c>
      <c r="C72" s="1" t="s">
        <v>1040</v>
      </c>
      <c r="D72" s="1" t="s">
        <v>1138</v>
      </c>
      <c r="E72" s="1" t="s">
        <v>1177</v>
      </c>
      <c r="F72" s="1" t="s">
        <v>1178</v>
      </c>
      <c r="G72" s="1" t="s">
        <v>1044</v>
      </c>
      <c r="H72" s="1" t="s">
        <v>1165</v>
      </c>
      <c r="I72" s="1" t="s">
        <v>32</v>
      </c>
      <c r="J72" s="15">
        <v>249.0</v>
      </c>
      <c r="K72" s="3">
        <f t="shared" si="0"/>
        <v>0.180722891566264</v>
      </c>
      <c r="L72" s="15">
        <v>204.0</v>
      </c>
    </row>
    <row r="73" ht="17.0">
      <c r="A73" s="1" t="s">
        <v>1174</v>
      </c>
      <c r="B73" s="1" t="s">
        <v>1167</v>
      </c>
      <c r="C73" s="1" t="s">
        <v>1040</v>
      </c>
      <c r="D73" s="1" t="s">
        <v>1138</v>
      </c>
      <c r="E73" s="1" t="s">
        <v>1177</v>
      </c>
      <c r="F73" s="1" t="s">
        <v>1178</v>
      </c>
      <c r="G73" s="1" t="s">
        <v>1044</v>
      </c>
      <c r="H73" s="1" t="s">
        <v>1165</v>
      </c>
      <c r="I73" s="1" t="s">
        <v>32</v>
      </c>
      <c r="J73" s="15">
        <v>249.0</v>
      </c>
      <c r="K73" s="3">
        <f t="shared" si="0"/>
        <v>0.220883534136547</v>
      </c>
      <c r="L73" s="15">
        <v>194.0</v>
      </c>
    </row>
    <row r="74" ht="17.0">
      <c r="A74" s="1" t="s">
        <v>1174</v>
      </c>
      <c r="B74" s="1" t="s">
        <v>1162</v>
      </c>
      <c r="C74" s="1" t="s">
        <v>1040</v>
      </c>
      <c r="D74" s="1" t="s">
        <v>195</v>
      </c>
      <c r="E74" s="1" t="s">
        <v>1179</v>
      </c>
      <c r="F74" s="1" t="s">
        <v>1180</v>
      </c>
      <c r="G74" s="1" t="s">
        <v>1044</v>
      </c>
      <c r="H74" s="1" t="s">
        <v>1062</v>
      </c>
      <c r="I74" s="1" t="s">
        <v>32</v>
      </c>
      <c r="J74" s="15">
        <v>169.0</v>
      </c>
      <c r="K74" s="3">
        <f t="shared" si="0"/>
        <v>0.23076923076923</v>
      </c>
      <c r="L74" s="15">
        <v>130.0</v>
      </c>
    </row>
    <row r="75" ht="17.0">
      <c r="A75" s="1" t="s">
        <v>1174</v>
      </c>
      <c r="B75" s="1" t="s">
        <v>1166</v>
      </c>
      <c r="C75" s="1" t="s">
        <v>1040</v>
      </c>
      <c r="D75" s="1" t="s">
        <v>195</v>
      </c>
      <c r="E75" s="1" t="s">
        <v>1179</v>
      </c>
      <c r="F75" s="1" t="s">
        <v>1180</v>
      </c>
      <c r="G75" s="1" t="s">
        <v>1044</v>
      </c>
      <c r="H75" s="1" t="s">
        <v>1062</v>
      </c>
      <c r="I75" s="1" t="s">
        <v>32</v>
      </c>
      <c r="J75" s="15">
        <v>169.0</v>
      </c>
      <c r="K75" s="3">
        <f t="shared" si="0"/>
        <v>0.189349112426036</v>
      </c>
      <c r="L75" s="15">
        <v>137.0</v>
      </c>
    </row>
    <row r="76" ht="17.0">
      <c r="A76" s="1" t="s">
        <v>1174</v>
      </c>
      <c r="B76" s="1" t="s">
        <v>1167</v>
      </c>
      <c r="C76" s="1" t="s">
        <v>1040</v>
      </c>
      <c r="D76" s="1" t="s">
        <v>195</v>
      </c>
      <c r="E76" s="1" t="s">
        <v>1179</v>
      </c>
      <c r="F76" s="1" t="s">
        <v>1180</v>
      </c>
      <c r="G76" s="1" t="s">
        <v>1044</v>
      </c>
      <c r="H76" s="1" t="s">
        <v>1062</v>
      </c>
      <c r="I76" s="1" t="s">
        <v>32</v>
      </c>
      <c r="J76" s="15">
        <v>169.0</v>
      </c>
      <c r="K76" s="3">
        <f t="shared" si="0"/>
        <v>0.245562130177515</v>
      </c>
      <c r="L76" s="15">
        <v>127.5</v>
      </c>
    </row>
    <row r="77" ht="17.0">
      <c r="A77" s="1" t="s">
        <v>1174</v>
      </c>
      <c r="B77" s="1" t="s">
        <v>1162</v>
      </c>
      <c r="C77" s="1" t="s">
        <v>1040</v>
      </c>
      <c r="D77" s="1" t="s">
        <v>1138</v>
      </c>
      <c r="E77" s="1" t="s">
        <v>1181</v>
      </c>
      <c r="F77" s="1" t="s">
        <v>1182</v>
      </c>
      <c r="G77" s="1" t="s">
        <v>1044</v>
      </c>
      <c r="H77" s="1" t="s">
        <v>1062</v>
      </c>
      <c r="I77" s="1" t="s">
        <v>32</v>
      </c>
      <c r="J77" s="15">
        <v>129.0</v>
      </c>
      <c r="K77" s="3">
        <f t="shared" si="0"/>
        <v>0.228682170542634</v>
      </c>
      <c r="L77" s="15">
        <v>99.5</v>
      </c>
    </row>
    <row r="78" ht="17.0">
      <c r="A78" s="1" t="s">
        <v>1174</v>
      </c>
      <c r="B78" s="1" t="s">
        <v>1166</v>
      </c>
      <c r="C78" s="1" t="s">
        <v>1040</v>
      </c>
      <c r="D78" s="1" t="s">
        <v>1138</v>
      </c>
      <c r="E78" s="1" t="s">
        <v>1181</v>
      </c>
      <c r="F78" s="1" t="s">
        <v>1182</v>
      </c>
      <c r="G78" s="1" t="s">
        <v>1044</v>
      </c>
      <c r="H78" s="1" t="s">
        <v>1062</v>
      </c>
      <c r="I78" s="1" t="s">
        <v>32</v>
      </c>
      <c r="J78" s="15">
        <v>129.0</v>
      </c>
      <c r="K78" s="3">
        <f t="shared" si="0"/>
        <v>0.209302325581396</v>
      </c>
      <c r="L78" s="15">
        <v>102.0</v>
      </c>
    </row>
    <row r="79" ht="17.0">
      <c r="A79" s="1" t="s">
        <v>1174</v>
      </c>
      <c r="B79" s="1" t="s">
        <v>1167</v>
      </c>
      <c r="C79" s="1" t="s">
        <v>1040</v>
      </c>
      <c r="D79" s="1" t="s">
        <v>1138</v>
      </c>
      <c r="E79" s="1" t="s">
        <v>1181</v>
      </c>
      <c r="F79" s="1" t="s">
        <v>1182</v>
      </c>
      <c r="G79" s="1" t="s">
        <v>1044</v>
      </c>
      <c r="H79" s="1" t="s">
        <v>1062</v>
      </c>
      <c r="I79" s="1" t="s">
        <v>32</v>
      </c>
      <c r="J79" s="15">
        <v>129.0</v>
      </c>
      <c r="K79" s="3">
        <f t="shared" si="0"/>
        <v>0.248062015503874</v>
      </c>
      <c r="L79" s="15">
        <v>97.0</v>
      </c>
    </row>
    <row r="80" ht="17.0">
      <c r="A80" s="1" t="s">
        <v>1039</v>
      </c>
      <c r="B80" s="1" t="s">
        <v>20</v>
      </c>
      <c r="C80" s="11" t="s">
        <v>1183</v>
      </c>
      <c r="D80" s="11" t="s">
        <v>1184</v>
      </c>
      <c r="E80" s="1" t="s">
        <v>1185</v>
      </c>
      <c r="F80" s="1" t="s">
        <v>1186</v>
      </c>
      <c r="G80" s="1" t="s">
        <v>1187</v>
      </c>
      <c r="H80" s="1" t="s">
        <v>1187</v>
      </c>
      <c r="I80" s="1" t="s">
        <v>1188</v>
      </c>
      <c r="J80" s="15">
        <v>1349.0</v>
      </c>
      <c r="K80" s="3">
        <f t="shared" si="0"/>
        <v>0.296515937731652</v>
      </c>
      <c r="L80" s="2">
        <v>949.0</v>
      </c>
    </row>
    <row r="81" customHeight="1" ht="14.0">
      <c r="A81" s="1" t="s">
        <v>1039</v>
      </c>
      <c r="B81" s="1" t="s">
        <v>20</v>
      </c>
      <c r="C81" s="1" t="s">
        <v>1189</v>
      </c>
      <c r="D81" s="1" t="s">
        <v>1190</v>
      </c>
      <c r="E81" s="1" t="s">
        <v>1191</v>
      </c>
      <c r="F81" s="1" t="s">
        <v>1192</v>
      </c>
      <c r="G81" s="1" t="s">
        <v>939</v>
      </c>
      <c r="H81" s="1" t="s">
        <v>1193</v>
      </c>
      <c r="I81" s="1" t="s">
        <v>1188</v>
      </c>
      <c r="J81" s="15">
        <v>249.0</v>
      </c>
      <c r="K81" s="3">
        <f t="shared" si="0"/>
        <v>0.200803212851406</v>
      </c>
      <c r="L81" s="15">
        <v>199.0</v>
      </c>
    </row>
  </sheetData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CCCCFF"/>
  </sheetPr>
  <dimension ref="A1:L37"/>
  <sheetViews>
    <sheetView workbookViewId="0"/>
  </sheetViews>
  <sheetFormatPr defaultRowHeight="15.0" customHeight="1"/>
  <cols>
    <col min="1" max="1" style="11" width="12.98"/>
    <col min="2" max="2" style="11" width="9.93"/>
    <col min="3" max="3" style="11" width="16.16"/>
    <col min="4" max="4" style="1" width="20.8"/>
    <col min="5" max="5" style="11" width="12.98"/>
    <col min="6" max="6" style="11" width="64.65"/>
    <col min="7" max="7" style="11" width="6.88"/>
    <col min="8" max="8" style="11" width="7.94"/>
    <col min="9" max="9" style="11" width="17.75"/>
    <col min="10" max="10" style="27" width="26.36"/>
    <col min="11" max="11" style="11" width="21.33"/>
    <col min="12" max="12" style="11" width="18.54"/>
    <col min="13" max="2048" style="11" width="8.87"/>
  </cols>
  <sheetData>
    <row r="1" ht="17.0">
      <c r="A1" s="28" t="s">
        <v>0</v>
      </c>
      <c r="B1" s="28" t="s">
        <v>1</v>
      </c>
      <c r="C1" s="28" t="s">
        <v>2</v>
      </c>
      <c r="D1" s="24" t="s">
        <v>3</v>
      </c>
      <c r="E1" s="28" t="s">
        <v>4</v>
      </c>
      <c r="F1" s="28" t="s">
        <v>1034</v>
      </c>
      <c r="G1" s="28" t="s">
        <v>6</v>
      </c>
      <c r="H1" s="28" t="s">
        <v>11</v>
      </c>
      <c r="I1" s="28" t="s">
        <v>1036</v>
      </c>
      <c r="J1" s="29" t="s">
        <v>1037</v>
      </c>
      <c r="K1" s="28" t="s">
        <v>1194</v>
      </c>
      <c r="L1" s="28" t="s">
        <v>1195</v>
      </c>
    </row>
    <row r="2" ht="17.0">
      <c r="A2" s="11" t="s">
        <v>1196</v>
      </c>
      <c r="B2" s="11" t="s">
        <v>20</v>
      </c>
      <c r="C2" s="11" t="s">
        <v>1197</v>
      </c>
      <c r="D2" s="1" t="s">
        <v>1198</v>
      </c>
      <c r="F2" s="11" t="s">
        <v>1199</v>
      </c>
      <c r="I2" s="30"/>
      <c r="J2" s="27">
        <v>0.3</v>
      </c>
      <c r="K2" s="30"/>
      <c r="L2" s="30"/>
    </row>
    <row r="3" ht="17.0">
      <c r="A3" s="11" t="s">
        <v>1196</v>
      </c>
      <c r="B3" s="11" t="s">
        <v>20</v>
      </c>
      <c r="C3" s="11" t="s">
        <v>1200</v>
      </c>
      <c r="D3" s="1" t="s">
        <v>1201</v>
      </c>
      <c r="F3" s="11" t="s">
        <v>1202</v>
      </c>
      <c r="I3" s="30"/>
      <c r="J3" s="27">
        <v>0.2</v>
      </c>
      <c r="K3" s="30"/>
      <c r="L3" s="30"/>
    </row>
    <row r="4" ht="17.0">
      <c r="A4" s="11" t="s">
        <v>369</v>
      </c>
      <c r="B4" s="11" t="s">
        <v>20</v>
      </c>
      <c r="C4" s="11" t="s">
        <v>1203</v>
      </c>
      <c r="D4" s="1" t="s">
        <v>1204</v>
      </c>
      <c r="E4" s="11" t="s">
        <v>1205</v>
      </c>
      <c r="F4" s="11" t="s">
        <v>1206</v>
      </c>
      <c r="G4" s="11" t="s">
        <v>1207</v>
      </c>
      <c r="H4" s="11" t="s">
        <v>56</v>
      </c>
      <c r="I4" s="30">
        <v>3718.8</v>
      </c>
      <c r="J4" s="27">
        <f t="shared" ref="J4:J18" si="0">(K4/I4-1)*-1</f>
        <v>0.435570614176617</v>
      </c>
      <c r="K4" s="30">
        <v>2099.0</v>
      </c>
      <c r="L4" s="30"/>
    </row>
    <row r="5" ht="17.0">
      <c r="A5" s="11" t="s">
        <v>369</v>
      </c>
      <c r="B5" s="11" t="s">
        <v>20</v>
      </c>
      <c r="C5" s="11" t="s">
        <v>1203</v>
      </c>
      <c r="D5" s="1" t="s">
        <v>1208</v>
      </c>
      <c r="E5" s="11" t="s">
        <v>1209</v>
      </c>
      <c r="F5" s="11" t="s">
        <v>1210</v>
      </c>
      <c r="G5" s="11" t="s">
        <v>1207</v>
      </c>
      <c r="H5" s="11" t="s">
        <v>56</v>
      </c>
      <c r="I5" s="30">
        <v>887.29</v>
      </c>
      <c r="J5" s="27">
        <f t="shared" si="0"/>
        <v>0.0995052350415308</v>
      </c>
      <c r="K5" s="30">
        <v>799.0</v>
      </c>
      <c r="L5" s="30"/>
    </row>
    <row r="6" ht="17.0">
      <c r="A6" s="11" t="s">
        <v>369</v>
      </c>
      <c r="B6" s="11" t="s">
        <v>20</v>
      </c>
      <c r="C6" s="11" t="s">
        <v>1211</v>
      </c>
      <c r="D6" s="1" t="s">
        <v>1212</v>
      </c>
      <c r="E6" s="11" t="s">
        <v>1213</v>
      </c>
      <c r="F6" s="11" t="s">
        <v>1214</v>
      </c>
      <c r="G6" s="11" t="s">
        <v>1207</v>
      </c>
      <c r="H6" s="11" t="s">
        <v>32</v>
      </c>
      <c r="I6" s="30">
        <v>848.47</v>
      </c>
      <c r="J6" s="27">
        <f t="shared" si="0"/>
        <v>0.187950074840596</v>
      </c>
      <c r="K6" s="30">
        <v>689.0</v>
      </c>
      <c r="L6" s="30"/>
    </row>
    <row r="7" ht="17.0">
      <c r="A7" s="11" t="s">
        <v>369</v>
      </c>
      <c r="B7" s="11" t="s">
        <v>20</v>
      </c>
      <c r="C7" s="11" t="s">
        <v>1203</v>
      </c>
      <c r="D7" s="1" t="s">
        <v>1215</v>
      </c>
      <c r="E7" s="11" t="s">
        <v>1216</v>
      </c>
      <c r="F7" s="11" t="s">
        <v>1217</v>
      </c>
      <c r="G7" s="11" t="s">
        <v>1207</v>
      </c>
      <c r="H7" s="11" t="s">
        <v>56</v>
      </c>
      <c r="I7" s="30">
        <v>1149.0</v>
      </c>
      <c r="J7" s="27">
        <f t="shared" si="0"/>
        <v>0.130548302872062</v>
      </c>
      <c r="K7" s="30">
        <v>999.0</v>
      </c>
      <c r="L7" s="30"/>
    </row>
    <row r="8" ht="17.0">
      <c r="A8" s="11" t="s">
        <v>369</v>
      </c>
      <c r="B8" s="11" t="s">
        <v>20</v>
      </c>
      <c r="C8" s="11" t="s">
        <v>1203</v>
      </c>
      <c r="D8" s="1" t="s">
        <v>1218</v>
      </c>
      <c r="E8" s="11" t="s">
        <v>1219</v>
      </c>
      <c r="F8" s="11" t="s">
        <v>1220</v>
      </c>
      <c r="G8" s="11" t="s">
        <v>1207</v>
      </c>
      <c r="H8" s="11" t="s">
        <v>32</v>
      </c>
      <c r="I8" s="30">
        <v>688.53</v>
      </c>
      <c r="J8" s="27">
        <f t="shared" si="0"/>
        <v>0.144554340406373</v>
      </c>
      <c r="K8" s="31">
        <v>589.0</v>
      </c>
      <c r="L8" s="31"/>
    </row>
    <row r="9" ht="17.0">
      <c r="A9" s="11" t="s">
        <v>369</v>
      </c>
      <c r="B9" s="11" t="s">
        <v>20</v>
      </c>
      <c r="C9" s="11" t="s">
        <v>1203</v>
      </c>
      <c r="D9" s="1" t="s">
        <v>1208</v>
      </c>
      <c r="E9" s="11" t="s">
        <v>1221</v>
      </c>
      <c r="F9" s="11" t="s">
        <v>1222</v>
      </c>
      <c r="G9" s="11" t="s">
        <v>1207</v>
      </c>
      <c r="H9" s="11" t="s">
        <v>56</v>
      </c>
      <c r="I9" s="30">
        <v>1856.0</v>
      </c>
      <c r="J9" s="27">
        <f t="shared" si="0"/>
        <v>0.300107758620688</v>
      </c>
      <c r="K9" s="30">
        <v>1299.0</v>
      </c>
      <c r="L9" s="30"/>
    </row>
    <row r="10" ht="17.0">
      <c r="A10" s="11" t="s">
        <v>369</v>
      </c>
      <c r="B10" s="11" t="s">
        <v>20</v>
      </c>
      <c r="C10" s="11" t="s">
        <v>1223</v>
      </c>
      <c r="D10" s="1" t="s">
        <v>1224</v>
      </c>
      <c r="E10" s="11" t="s">
        <v>1216</v>
      </c>
      <c r="F10" s="11" t="s">
        <v>1217</v>
      </c>
      <c r="G10" s="11" t="s">
        <v>1207</v>
      </c>
      <c r="H10" s="11" t="s">
        <v>56</v>
      </c>
      <c r="I10" s="30">
        <v>1149.0</v>
      </c>
      <c r="J10" s="27">
        <f t="shared" si="0"/>
        <v>0.191470844212359</v>
      </c>
      <c r="K10" s="30">
        <v>929.0</v>
      </c>
      <c r="L10" s="30">
        <f>SUM(K10:K12)</f>
        <v>3409.0</v>
      </c>
    </row>
    <row r="11" ht="17.0">
      <c r="A11" s="11" t="s">
        <v>369</v>
      </c>
      <c r="B11" s="11" t="s">
        <v>20</v>
      </c>
      <c r="C11" s="11" t="s">
        <v>1223</v>
      </c>
      <c r="D11" s="1" t="s">
        <v>1224</v>
      </c>
      <c r="E11" s="11" t="s">
        <v>1219</v>
      </c>
      <c r="F11" s="11" t="s">
        <v>1220</v>
      </c>
      <c r="G11" s="11" t="s">
        <v>1207</v>
      </c>
      <c r="H11" s="11" t="s">
        <v>32</v>
      </c>
      <c r="I11" s="30">
        <v>688.53</v>
      </c>
      <c r="J11" s="27">
        <f t="shared" si="0"/>
        <v>0.302862620365126</v>
      </c>
      <c r="K11" s="30">
        <v>480.0</v>
      </c>
    </row>
    <row r="12" ht="17.0">
      <c r="A12" s="11" t="s">
        <v>369</v>
      </c>
      <c r="B12" s="11" t="s">
        <v>20</v>
      </c>
      <c r="C12" s="11" t="s">
        <v>1223</v>
      </c>
      <c r="D12" s="1" t="s">
        <v>1224</v>
      </c>
      <c r="E12" s="11" t="s">
        <v>1205</v>
      </c>
      <c r="F12" s="11" t="s">
        <v>1206</v>
      </c>
      <c r="G12" s="11" t="s">
        <v>1207</v>
      </c>
      <c r="H12" s="11" t="s">
        <v>56</v>
      </c>
      <c r="I12" s="30">
        <v>3718.8</v>
      </c>
      <c r="J12" s="27">
        <f t="shared" si="0"/>
        <v>0.462192104980101</v>
      </c>
      <c r="K12" s="30">
        <v>2000.0</v>
      </c>
    </row>
    <row r="13" ht="17.0">
      <c r="A13" s="11" t="s">
        <v>369</v>
      </c>
      <c r="B13" s="11" t="s">
        <v>20</v>
      </c>
      <c r="C13" s="11" t="s">
        <v>1223</v>
      </c>
      <c r="D13" s="1" t="s">
        <v>1225</v>
      </c>
      <c r="E13" s="11" t="s">
        <v>1216</v>
      </c>
      <c r="F13" s="11" t="s">
        <v>1217</v>
      </c>
      <c r="G13" s="11" t="s">
        <v>1207</v>
      </c>
      <c r="H13" s="11" t="s">
        <v>56</v>
      </c>
      <c r="I13" s="30">
        <v>1149.0</v>
      </c>
      <c r="J13" s="27">
        <f t="shared" si="0"/>
        <v>0.234986945169712</v>
      </c>
      <c r="K13" s="30">
        <v>879.0</v>
      </c>
      <c r="L13" s="30">
        <v>1429.0</v>
      </c>
    </row>
    <row r="14" ht="17.0">
      <c r="A14" s="11" t="s">
        <v>369</v>
      </c>
      <c r="B14" s="11" t="s">
        <v>20</v>
      </c>
      <c r="C14" s="11" t="s">
        <v>1223</v>
      </c>
      <c r="D14" s="1" t="s">
        <v>1225</v>
      </c>
      <c r="E14" s="11" t="s">
        <v>1219</v>
      </c>
      <c r="F14" s="11" t="s">
        <v>1220</v>
      </c>
      <c r="G14" s="11" t="s">
        <v>1207</v>
      </c>
      <c r="H14" s="11" t="s">
        <v>32</v>
      </c>
      <c r="I14" s="30">
        <v>688.53</v>
      </c>
      <c r="J14" s="27">
        <f t="shared" si="0"/>
        <v>0.201196752501707</v>
      </c>
      <c r="K14" s="30">
        <v>550.0</v>
      </c>
      <c r="L14" s="30"/>
    </row>
    <row r="15" ht="17.0">
      <c r="A15" s="11" t="s">
        <v>369</v>
      </c>
      <c r="B15" s="11" t="s">
        <v>20</v>
      </c>
      <c r="C15" s="11" t="s">
        <v>1226</v>
      </c>
      <c r="D15" s="1" t="s">
        <v>1227</v>
      </c>
      <c r="E15" s="11" t="s">
        <v>1228</v>
      </c>
      <c r="F15" s="11" t="s">
        <v>1229</v>
      </c>
      <c r="G15" s="11" t="s">
        <v>1207</v>
      </c>
      <c r="H15" s="11" t="s">
        <v>1230</v>
      </c>
      <c r="I15" s="30">
        <v>2219.0</v>
      </c>
      <c r="J15" s="27">
        <f t="shared" si="0"/>
        <v>0.144209103199638</v>
      </c>
      <c r="K15" s="30">
        <v>1899.0</v>
      </c>
      <c r="L15" s="30">
        <v>2399.0</v>
      </c>
    </row>
    <row r="16" ht="17.0">
      <c r="A16" s="11" t="s">
        <v>369</v>
      </c>
      <c r="B16" s="11" t="s">
        <v>20</v>
      </c>
      <c r="C16" s="11" t="s">
        <v>1231</v>
      </c>
      <c r="D16" s="1" t="s">
        <v>1227</v>
      </c>
      <c r="E16" s="11" t="s">
        <v>1219</v>
      </c>
      <c r="F16" s="11" t="s">
        <v>1220</v>
      </c>
      <c r="G16" s="11" t="s">
        <v>1207</v>
      </c>
      <c r="H16" s="11" t="s">
        <v>32</v>
      </c>
      <c r="I16" s="30">
        <v>688.53</v>
      </c>
      <c r="J16" s="27">
        <f t="shared" si="0"/>
        <v>0.273815229547006</v>
      </c>
      <c r="K16" s="30">
        <v>500.0</v>
      </c>
      <c r="L16" s="30"/>
    </row>
    <row r="17" ht="17.0">
      <c r="A17" s="11" t="s">
        <v>369</v>
      </c>
      <c r="B17" s="11" t="s">
        <v>20</v>
      </c>
      <c r="C17" s="11" t="s">
        <v>1223</v>
      </c>
      <c r="D17" s="1" t="s">
        <v>1232</v>
      </c>
      <c r="E17" s="11" t="s">
        <v>1205</v>
      </c>
      <c r="F17" s="11" t="s">
        <v>1206</v>
      </c>
      <c r="G17" s="11" t="s">
        <v>1207</v>
      </c>
      <c r="H17" s="11" t="s">
        <v>56</v>
      </c>
      <c r="I17" s="30">
        <v>3718.8</v>
      </c>
      <c r="J17" s="27">
        <f t="shared" si="0"/>
        <v>0.462192104980101</v>
      </c>
      <c r="K17" s="30">
        <v>2000.0</v>
      </c>
      <c r="L17" s="30">
        <f>SUM(K17:K18)</f>
        <v>3279.0</v>
      </c>
    </row>
    <row r="18" ht="17.0">
      <c r="A18" s="11" t="s">
        <v>369</v>
      </c>
      <c r="B18" s="11" t="s">
        <v>20</v>
      </c>
      <c r="C18" s="11" t="s">
        <v>1223</v>
      </c>
      <c r="D18" s="1" t="s">
        <v>1232</v>
      </c>
      <c r="E18" s="11" t="s">
        <v>1221</v>
      </c>
      <c r="F18" s="11" t="s">
        <v>1222</v>
      </c>
      <c r="G18" s="11" t="s">
        <v>1207</v>
      </c>
      <c r="H18" s="11" t="s">
        <v>32</v>
      </c>
      <c r="I18" s="30">
        <v>1856.0</v>
      </c>
      <c r="J18" s="27">
        <f t="shared" si="0"/>
        <v>0.310883620689656</v>
      </c>
      <c r="K18" s="30">
        <v>1279.0</v>
      </c>
      <c r="L18" s="30"/>
    </row>
    <row r="19" ht="17.0">
      <c r="A19" s="11" t="s">
        <v>1196</v>
      </c>
      <c r="B19" s="11" t="s">
        <v>20</v>
      </c>
      <c r="C19" s="11" t="s">
        <v>1233</v>
      </c>
      <c r="D19" s="1" t="s">
        <v>1234</v>
      </c>
      <c r="E19" s="11">
        <v>5.0106043E7</v>
      </c>
      <c r="F19" s="11" t="s">
        <v>1235</v>
      </c>
      <c r="G19" s="11" t="s">
        <v>1207</v>
      </c>
      <c r="H19" s="11" t="s">
        <v>28</v>
      </c>
      <c r="I19" s="30">
        <v>979.0</v>
      </c>
      <c r="K19" s="30">
        <v>2799.0</v>
      </c>
      <c r="L19" s="30">
        <v>2799.0</v>
      </c>
    </row>
    <row r="20" ht="17.0">
      <c r="A20" s="11" t="s">
        <v>1196</v>
      </c>
      <c r="B20" s="11" t="s">
        <v>20</v>
      </c>
      <c r="C20" s="11" t="s">
        <v>1233</v>
      </c>
      <c r="D20" s="1" t="s">
        <v>1234</v>
      </c>
      <c r="E20" s="11">
        <v>5.1455042E7</v>
      </c>
      <c r="F20" s="11" t="s">
        <v>1236</v>
      </c>
      <c r="G20" s="11" t="s">
        <v>1207</v>
      </c>
      <c r="H20" s="11" t="s">
        <v>28</v>
      </c>
      <c r="I20" s="30">
        <v>1437.0</v>
      </c>
      <c r="K20" s="30"/>
      <c r="L20" s="30"/>
    </row>
    <row r="21" ht="17.0">
      <c r="A21" s="11" t="s">
        <v>1196</v>
      </c>
      <c r="B21" s="11" t="s">
        <v>20</v>
      </c>
      <c r="C21" s="11" t="s">
        <v>1233</v>
      </c>
      <c r="D21" s="1" t="s">
        <v>1234</v>
      </c>
      <c r="E21" s="11">
        <v>5.2010042E7</v>
      </c>
      <c r="F21" s="11" t="s">
        <v>1237</v>
      </c>
      <c r="G21" s="11" t="s">
        <v>1207</v>
      </c>
      <c r="H21" s="11" t="s">
        <v>28</v>
      </c>
      <c r="I21" s="30">
        <v>1321.0</v>
      </c>
      <c r="K21" s="30"/>
      <c r="L21" s="30"/>
    </row>
    <row r="22" ht="17.0">
      <c r="A22" s="11" t="s">
        <v>1196</v>
      </c>
      <c r="B22" s="11" t="s">
        <v>20</v>
      </c>
      <c r="C22" s="11" t="s">
        <v>1233</v>
      </c>
      <c r="D22" s="1" t="s">
        <v>1234</v>
      </c>
      <c r="E22" s="11">
        <v>5.3010042E7</v>
      </c>
      <c r="F22" s="11" t="s">
        <v>1238</v>
      </c>
      <c r="G22" s="11" t="s">
        <v>1207</v>
      </c>
      <c r="H22" s="11" t="s">
        <v>28</v>
      </c>
      <c r="I22" s="30">
        <v>915.0</v>
      </c>
      <c r="K22" s="30"/>
      <c r="L22" s="30"/>
    </row>
    <row r="23" ht="17.0">
      <c r="A23" s="11" t="s">
        <v>1196</v>
      </c>
      <c r="B23" s="11" t="s">
        <v>20</v>
      </c>
      <c r="C23" s="11" t="s">
        <v>1233</v>
      </c>
      <c r="D23" s="1" t="s">
        <v>1239</v>
      </c>
      <c r="E23" s="11">
        <v>5.0455022E7</v>
      </c>
      <c r="F23" s="11" t="s">
        <v>1240</v>
      </c>
      <c r="G23" s="11" t="s">
        <v>1207</v>
      </c>
      <c r="H23" s="11" t="s">
        <v>56</v>
      </c>
      <c r="I23" s="30">
        <v>2052.0</v>
      </c>
      <c r="K23" s="30">
        <v>2699.0</v>
      </c>
      <c r="L23" s="30">
        <v>2699.0</v>
      </c>
    </row>
    <row r="24" ht="17.0">
      <c r="A24" s="11" t="s">
        <v>1196</v>
      </c>
      <c r="B24" s="11" t="s">
        <v>20</v>
      </c>
      <c r="C24" s="11" t="s">
        <v>1233</v>
      </c>
      <c r="D24" s="1" t="s">
        <v>1239</v>
      </c>
      <c r="E24" s="11">
        <v>5.2009021E7</v>
      </c>
      <c r="F24" s="11" t="s">
        <v>1241</v>
      </c>
      <c r="G24" s="11" t="s">
        <v>1207</v>
      </c>
      <c r="H24" s="11" t="s">
        <v>56</v>
      </c>
      <c r="I24" s="30">
        <v>1259.0</v>
      </c>
      <c r="K24" s="30"/>
      <c r="L24" s="30"/>
    </row>
    <row r="25" ht="17.0">
      <c r="A25" s="11" t="s">
        <v>1196</v>
      </c>
      <c r="B25" s="11" t="s">
        <v>20</v>
      </c>
      <c r="C25" s="11" t="s">
        <v>1233</v>
      </c>
      <c r="D25" s="1" t="s">
        <v>1239</v>
      </c>
      <c r="E25" s="11" t="s">
        <v>1242</v>
      </c>
      <c r="F25" s="11" t="s">
        <v>1243</v>
      </c>
      <c r="G25" s="11" t="s">
        <v>1207</v>
      </c>
      <c r="H25" s="11" t="s">
        <v>56</v>
      </c>
      <c r="I25" s="30">
        <v>655.0</v>
      </c>
      <c r="K25" s="30"/>
      <c r="L25" s="30"/>
    </row>
    <row r="26" ht="17.0">
      <c r="A26" s="11" t="s">
        <v>1196</v>
      </c>
      <c r="B26" s="11" t="s">
        <v>20</v>
      </c>
      <c r="C26" s="11" t="s">
        <v>1233</v>
      </c>
      <c r="D26" s="1" t="s">
        <v>1239</v>
      </c>
      <c r="E26" s="11">
        <v>5.3010022E7</v>
      </c>
      <c r="F26" s="11" t="s">
        <v>1244</v>
      </c>
      <c r="G26" s="11" t="s">
        <v>1207</v>
      </c>
      <c r="H26" s="11" t="s">
        <v>56</v>
      </c>
      <c r="I26" s="30">
        <v>875.0</v>
      </c>
      <c r="K26" s="30"/>
      <c r="L26" s="30"/>
    </row>
    <row r="27" ht="17.0">
      <c r="A27" s="11" t="s">
        <v>1196</v>
      </c>
      <c r="B27" s="11" t="s">
        <v>20</v>
      </c>
      <c r="C27" s="11" t="s">
        <v>1233</v>
      </c>
      <c r="D27" s="1" t="s">
        <v>1245</v>
      </c>
      <c r="E27" s="11">
        <v>5.0083043E7</v>
      </c>
      <c r="F27" s="11" t="s">
        <v>1246</v>
      </c>
      <c r="G27" s="11" t="s">
        <v>1207</v>
      </c>
      <c r="H27" s="11" t="s">
        <v>28</v>
      </c>
      <c r="I27" s="30">
        <v>1479.0</v>
      </c>
      <c r="K27" s="30">
        <v>1599.0</v>
      </c>
      <c r="L27" s="30">
        <v>1599.0</v>
      </c>
    </row>
    <row r="28" ht="17.0">
      <c r="A28" s="11" t="s">
        <v>1196</v>
      </c>
      <c r="B28" s="11" t="s">
        <v>20</v>
      </c>
      <c r="C28" s="11" t="s">
        <v>1233</v>
      </c>
      <c r="D28" s="1" t="s">
        <v>1245</v>
      </c>
      <c r="E28" s="11">
        <v>5.1453042E7</v>
      </c>
      <c r="F28" s="11" t="s">
        <v>1247</v>
      </c>
      <c r="G28" s="11" t="s">
        <v>1207</v>
      </c>
      <c r="H28" s="11" t="s">
        <v>28</v>
      </c>
      <c r="I28" s="30">
        <v>769.0</v>
      </c>
      <c r="K28" s="30"/>
      <c r="L28" s="30"/>
    </row>
    <row r="29" ht="17.0">
      <c r="A29" s="11" t="s">
        <v>1196</v>
      </c>
      <c r="B29" s="11" t="s">
        <v>20</v>
      </c>
      <c r="C29" s="11" t="s">
        <v>1233</v>
      </c>
      <c r="D29" s="1" t="s">
        <v>1245</v>
      </c>
      <c r="E29" s="11">
        <v>5.2006042E7</v>
      </c>
      <c r="F29" s="11" t="s">
        <v>1248</v>
      </c>
      <c r="G29" s="11" t="s">
        <v>1207</v>
      </c>
      <c r="H29" s="11" t="s">
        <v>28</v>
      </c>
      <c r="I29" s="30">
        <v>815.0</v>
      </c>
      <c r="K29" s="30"/>
      <c r="L29" s="30"/>
    </row>
    <row r="30" ht="17.0">
      <c r="A30" s="11" t="s">
        <v>1196</v>
      </c>
      <c r="B30" s="11" t="s">
        <v>20</v>
      </c>
      <c r="C30" s="11" t="s">
        <v>1233</v>
      </c>
      <c r="D30" s="1" t="s">
        <v>1204</v>
      </c>
      <c r="E30" s="11" t="s">
        <v>1249</v>
      </c>
      <c r="F30" s="11" t="s">
        <v>1250</v>
      </c>
      <c r="G30" s="11" t="s">
        <v>1207</v>
      </c>
      <c r="H30" s="11" t="s">
        <v>56</v>
      </c>
      <c r="I30" s="30">
        <v>7314.0</v>
      </c>
      <c r="J30" s="27">
        <f t="shared" ref="J30:J37" si="3">(K30/I30-1)*-1</f>
        <v>0.46691277003008</v>
      </c>
      <c r="K30" s="30">
        <v>3899.0</v>
      </c>
    </row>
    <row r="31" ht="17.0">
      <c r="A31" s="11" t="s">
        <v>1196</v>
      </c>
      <c r="B31" s="11" t="s">
        <v>20</v>
      </c>
      <c r="C31" s="11" t="s">
        <v>1233</v>
      </c>
      <c r="D31" s="1" t="s">
        <v>1204</v>
      </c>
      <c r="E31" s="11" t="s">
        <v>1251</v>
      </c>
      <c r="F31" s="11" t="s">
        <v>1252</v>
      </c>
      <c r="G31" s="11" t="s">
        <v>1207</v>
      </c>
      <c r="H31" s="11" t="s">
        <v>56</v>
      </c>
      <c r="I31" s="30">
        <v>6927.0</v>
      </c>
      <c r="J31" s="27">
        <f t="shared" si="3"/>
        <v>0.466002598527501</v>
      </c>
      <c r="K31" s="30">
        <v>3699.0</v>
      </c>
    </row>
    <row r="32" ht="17.0">
      <c r="A32" s="11" t="s">
        <v>1196</v>
      </c>
      <c r="B32" s="11" t="s">
        <v>20</v>
      </c>
      <c r="C32" s="11" t="s">
        <v>1233</v>
      </c>
      <c r="D32" s="1" t="s">
        <v>1204</v>
      </c>
      <c r="E32" s="11" t="s">
        <v>1253</v>
      </c>
      <c r="F32" s="11" t="s">
        <v>1254</v>
      </c>
      <c r="G32" s="11" t="s">
        <v>1207</v>
      </c>
      <c r="H32" s="11" t="s">
        <v>56</v>
      </c>
      <c r="I32" s="30">
        <v>6024.0</v>
      </c>
      <c r="J32" s="27">
        <f t="shared" si="3"/>
        <v>0.452357237715803</v>
      </c>
      <c r="K32" s="30">
        <v>3299.0</v>
      </c>
    </row>
    <row r="33" ht="17.0">
      <c r="A33" s="11" t="s">
        <v>1196</v>
      </c>
      <c r="B33" s="11" t="s">
        <v>20</v>
      </c>
      <c r="C33" s="11" t="s">
        <v>1233</v>
      </c>
      <c r="D33" s="1" t="s">
        <v>1204</v>
      </c>
      <c r="E33" s="11" t="s">
        <v>1255</v>
      </c>
      <c r="F33" s="11" t="s">
        <v>1256</v>
      </c>
      <c r="G33" s="11" t="s">
        <v>1207</v>
      </c>
      <c r="H33" s="11" t="s">
        <v>56</v>
      </c>
      <c r="I33" s="30">
        <v>4777.0</v>
      </c>
      <c r="J33" s="27">
        <f t="shared" si="3"/>
        <v>0.581536529202429</v>
      </c>
      <c r="K33" s="30">
        <v>1999.0</v>
      </c>
    </row>
    <row r="34" ht="17.0">
      <c r="A34" s="11" t="s">
        <v>1196</v>
      </c>
      <c r="B34" s="11" t="s">
        <v>20</v>
      </c>
      <c r="C34" s="11" t="s">
        <v>1233</v>
      </c>
      <c r="D34" s="1" t="s">
        <v>1204</v>
      </c>
      <c r="E34" s="11" t="s">
        <v>1257</v>
      </c>
      <c r="F34" s="11" t="s">
        <v>1258</v>
      </c>
      <c r="G34" s="11" t="s">
        <v>1207</v>
      </c>
      <c r="H34" s="11" t="s">
        <v>56</v>
      </c>
      <c r="I34" s="30">
        <v>4408.0</v>
      </c>
      <c r="J34" s="27">
        <f t="shared" si="3"/>
        <v>0.557849364791289</v>
      </c>
      <c r="K34" s="30">
        <v>1949.0</v>
      </c>
    </row>
    <row r="35" ht="17.0">
      <c r="A35" s="11" t="s">
        <v>1196</v>
      </c>
      <c r="B35" s="11" t="s">
        <v>20</v>
      </c>
      <c r="C35" s="11" t="s">
        <v>1233</v>
      </c>
      <c r="D35" s="1" t="s">
        <v>1204</v>
      </c>
      <c r="E35" s="11" t="s">
        <v>1259</v>
      </c>
      <c r="F35" s="11" t="s">
        <v>1260</v>
      </c>
      <c r="G35" s="11" t="s">
        <v>1207</v>
      </c>
      <c r="H35" s="11" t="s">
        <v>56</v>
      </c>
      <c r="I35" s="30">
        <v>4232.0</v>
      </c>
      <c r="J35" s="27">
        <f t="shared" si="3"/>
        <v>0.551275992438563</v>
      </c>
      <c r="K35" s="30">
        <v>1899.0</v>
      </c>
    </row>
    <row r="36" ht="17.0">
      <c r="A36" s="11" t="s">
        <v>1196</v>
      </c>
      <c r="B36" s="11" t="s">
        <v>20</v>
      </c>
      <c r="C36" s="11" t="s">
        <v>1233</v>
      </c>
      <c r="D36" s="1" t="s">
        <v>1204</v>
      </c>
      <c r="E36" s="11" t="s">
        <v>1261</v>
      </c>
      <c r="F36" s="11" t="s">
        <v>1262</v>
      </c>
      <c r="G36" s="11" t="s">
        <v>1207</v>
      </c>
      <c r="H36" s="11" t="s">
        <v>56</v>
      </c>
      <c r="I36" s="30">
        <v>3108.0</v>
      </c>
      <c r="J36" s="27">
        <f t="shared" si="3"/>
        <v>0.311776061776062</v>
      </c>
      <c r="K36" s="30">
        <v>2139.0</v>
      </c>
    </row>
    <row r="37" ht="17.0">
      <c r="A37" s="11" t="s">
        <v>1196</v>
      </c>
      <c r="B37" s="11" t="s">
        <v>20</v>
      </c>
      <c r="C37" s="11" t="s">
        <v>1233</v>
      </c>
      <c r="D37" s="1" t="s">
        <v>1204</v>
      </c>
      <c r="E37" s="11" t="s">
        <v>1263</v>
      </c>
      <c r="F37" s="11" t="s">
        <v>1264</v>
      </c>
      <c r="G37" s="11" t="s">
        <v>1207</v>
      </c>
      <c r="H37" s="11" t="s">
        <v>56</v>
      </c>
      <c r="I37" s="30">
        <v>1583.0</v>
      </c>
      <c r="J37" s="27">
        <f t="shared" si="3"/>
        <v>0.432090966519268</v>
      </c>
      <c r="K37" s="30">
        <v>899.0</v>
      </c>
    </row>
    <row r="38" ht="17.0">
      <c r="I38" s="30"/>
    </row>
    <row r="39" ht="17.0">
      <c r="I39" s="30"/>
    </row>
  </sheetData>
  <mergeCells count="10">
    <mergeCell ref="K23:K26"/>
    <mergeCell ref="K27:K29"/>
    <mergeCell ref="K19:K22"/>
    <mergeCell ref="L17:L18"/>
    <mergeCell ref="L15:L16"/>
    <mergeCell ref="L13:L14"/>
    <mergeCell ref="L10:L12"/>
    <mergeCell ref="L23:L26"/>
    <mergeCell ref="L19:L22"/>
    <mergeCell ref="L27:L29"/>
  </mergeCells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FFD966"/>
  </sheetPr>
  <dimension ref="A1:M35"/>
  <sheetViews>
    <sheetView workbookViewId="0"/>
  </sheetViews>
  <sheetFormatPr defaultRowHeight="15.0" customHeight="1"/>
  <cols>
    <col min="1" max="1" style="11" width="16.95"/>
    <col min="2" max="2" style="11" width="6.88"/>
    <col min="3" max="3" style="11" width="11.65"/>
    <col min="4" max="4" style="11" width="26.49"/>
    <col min="5" max="5" style="11" width="13.38"/>
    <col min="6" max="6" style="11" width="64.65"/>
    <col min="7" max="7" style="11" width="8.61"/>
    <col min="8" max="8" style="11" width="8.74"/>
    <col min="9" max="9" style="11" width="6.75"/>
    <col min="10" max="10" style="11" width="13.38"/>
    <col min="11" max="11" style="27" width="12.85"/>
    <col min="12" max="12" style="30" width="17.75"/>
    <col min="13" max="13" style="11" width="44.65"/>
    <col min="14" max="2048" style="11" width="8.87"/>
  </cols>
  <sheetData>
    <row r="1" ht="17.0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1034</v>
      </c>
      <c r="G1" s="28" t="s">
        <v>6</v>
      </c>
      <c r="H1" s="28" t="s">
        <v>1265</v>
      </c>
      <c r="I1" s="28" t="s">
        <v>11</v>
      </c>
      <c r="J1" s="28" t="s">
        <v>1036</v>
      </c>
      <c r="K1" s="29" t="s">
        <v>1266</v>
      </c>
      <c r="L1" s="32" t="s">
        <v>1194</v>
      </c>
      <c r="M1" s="32" t="s">
        <v>503</v>
      </c>
    </row>
    <row r="2" ht="17.0">
      <c r="A2" s="11" t="s">
        <v>1267</v>
      </c>
      <c r="B2" s="11" t="s">
        <v>20</v>
      </c>
      <c r="C2" s="11" t="s">
        <v>1268</v>
      </c>
      <c r="D2" s="11" t="s">
        <v>1268</v>
      </c>
      <c r="F2" s="11" t="s">
        <v>1269</v>
      </c>
      <c r="J2" s="30"/>
      <c r="K2" s="27">
        <v>0.2</v>
      </c>
    </row>
    <row r="3" ht="17.0">
      <c r="A3" s="11" t="s">
        <v>1270</v>
      </c>
      <c r="B3" s="11" t="s">
        <v>20</v>
      </c>
      <c r="C3" s="11" t="s">
        <v>1271</v>
      </c>
      <c r="D3" s="11" t="s">
        <v>1272</v>
      </c>
      <c r="E3" s="11" t="s">
        <v>1273</v>
      </c>
      <c r="F3" s="11" t="s">
        <v>1274</v>
      </c>
      <c r="G3" s="11" t="s">
        <v>1275</v>
      </c>
      <c r="H3" s="11">
        <v>750.0</v>
      </c>
      <c r="I3" s="11" t="s">
        <v>63</v>
      </c>
      <c r="J3" s="30">
        <v>2999.0</v>
      </c>
      <c r="K3" s="27">
        <f t="shared" ref="K3:K35" si="0">(L3/J3-1)*-1</f>
        <v>0.213404468156051</v>
      </c>
      <c r="L3" s="30">
        <v>2359.0</v>
      </c>
    </row>
    <row r="4" ht="17.0">
      <c r="A4" s="11" t="s">
        <v>1270</v>
      </c>
      <c r="B4" s="11" t="s">
        <v>20</v>
      </c>
      <c r="C4" s="11" t="s">
        <v>1271</v>
      </c>
      <c r="D4" s="11" t="s">
        <v>1272</v>
      </c>
      <c r="E4" s="11" t="s">
        <v>1276</v>
      </c>
      <c r="F4" s="11" t="s">
        <v>1277</v>
      </c>
      <c r="G4" s="11" t="s">
        <v>1275</v>
      </c>
      <c r="H4" s="11">
        <v>450.0</v>
      </c>
      <c r="I4" s="11" t="s">
        <v>63</v>
      </c>
      <c r="J4" s="30">
        <v>2229.0</v>
      </c>
      <c r="K4" s="27">
        <f t="shared" si="0"/>
        <v>0.28263795423957</v>
      </c>
      <c r="L4" s="30">
        <v>1599.0</v>
      </c>
    </row>
    <row r="5" ht="17.0">
      <c r="A5" s="11" t="s">
        <v>1270</v>
      </c>
      <c r="B5" s="11" t="s">
        <v>20</v>
      </c>
      <c r="C5" s="11" t="s">
        <v>1271</v>
      </c>
      <c r="D5" s="11" t="s">
        <v>1272</v>
      </c>
      <c r="E5" s="11" t="s">
        <v>1278</v>
      </c>
      <c r="F5" s="11" t="s">
        <v>1279</v>
      </c>
      <c r="G5" s="11" t="s">
        <v>1275</v>
      </c>
      <c r="H5" s="11">
        <v>1100.0</v>
      </c>
      <c r="I5" s="11" t="s">
        <v>63</v>
      </c>
      <c r="J5" s="30">
        <v>3199.0</v>
      </c>
      <c r="K5" s="27">
        <f t="shared" si="0"/>
        <v>0.262582056892779</v>
      </c>
      <c r="L5" s="30">
        <v>2359.0</v>
      </c>
    </row>
    <row r="6" ht="17.0">
      <c r="A6" s="11" t="s">
        <v>1270</v>
      </c>
      <c r="B6" s="11" t="s">
        <v>20</v>
      </c>
      <c r="C6" s="11" t="s">
        <v>1271</v>
      </c>
      <c r="D6" s="11" t="s">
        <v>1272</v>
      </c>
      <c r="E6" s="11" t="s">
        <v>1280</v>
      </c>
      <c r="F6" s="11" t="s">
        <v>1281</v>
      </c>
      <c r="G6" s="11" t="s">
        <v>1275</v>
      </c>
      <c r="H6" s="11">
        <v>750.0</v>
      </c>
      <c r="I6" s="11" t="s">
        <v>28</v>
      </c>
      <c r="J6" s="30">
        <v>3119.0</v>
      </c>
      <c r="K6" s="27">
        <f t="shared" si="0"/>
        <v>0.253286309714652</v>
      </c>
      <c r="L6" s="30">
        <v>2329.0</v>
      </c>
    </row>
    <row r="7" ht="17.0">
      <c r="A7" s="11" t="s">
        <v>1282</v>
      </c>
      <c r="B7" s="11" t="s">
        <v>20</v>
      </c>
      <c r="D7" s="11" t="s">
        <v>1283</v>
      </c>
      <c r="E7" s="11" t="s">
        <v>1284</v>
      </c>
      <c r="F7" s="11" t="s">
        <v>1285</v>
      </c>
      <c r="G7" s="11" t="s">
        <v>1286</v>
      </c>
      <c r="J7" s="30">
        <v>9579.0</v>
      </c>
      <c r="K7" s="27">
        <f t="shared" si="0"/>
        <v>0.161812297734628</v>
      </c>
      <c r="L7" s="30">
        <v>8029.0</v>
      </c>
    </row>
    <row r="8" ht="17.0">
      <c r="A8" s="11" t="s">
        <v>1282</v>
      </c>
      <c r="B8" s="11" t="s">
        <v>20</v>
      </c>
      <c r="D8" s="11" t="s">
        <v>1283</v>
      </c>
      <c r="E8" s="11" t="s">
        <v>1287</v>
      </c>
      <c r="F8" s="11" t="s">
        <v>1288</v>
      </c>
      <c r="G8" s="11" t="s">
        <v>1286</v>
      </c>
      <c r="J8" s="30">
        <v>8709.0</v>
      </c>
      <c r="K8" s="27">
        <f t="shared" si="0"/>
        <v>0.161901481226316</v>
      </c>
      <c r="L8" s="30">
        <v>7299.0</v>
      </c>
    </row>
    <row r="9" ht="17.0">
      <c r="A9" s="11" t="s">
        <v>1282</v>
      </c>
      <c r="B9" s="11" t="s">
        <v>20</v>
      </c>
      <c r="C9" s="11" t="s">
        <v>1289</v>
      </c>
      <c r="D9" s="11" t="s">
        <v>1290</v>
      </c>
      <c r="E9" s="11" t="s">
        <v>1291</v>
      </c>
      <c r="F9" s="11" t="s">
        <v>1292</v>
      </c>
      <c r="G9" s="11" t="s">
        <v>1286</v>
      </c>
      <c r="J9" s="30">
        <v>7269.0</v>
      </c>
      <c r="K9" s="27">
        <f t="shared" si="0"/>
        <v>0.15</v>
      </c>
      <c r="L9" s="30">
        <v>6178.65</v>
      </c>
    </row>
    <row r="10" ht="17.0">
      <c r="A10" s="11" t="s">
        <v>1282</v>
      </c>
      <c r="B10" s="11" t="s">
        <v>20</v>
      </c>
      <c r="C10" s="11" t="s">
        <v>1289</v>
      </c>
      <c r="D10" s="11" t="s">
        <v>1290</v>
      </c>
      <c r="E10" s="11" t="s">
        <v>1293</v>
      </c>
      <c r="F10" s="11" t="s">
        <v>1294</v>
      </c>
      <c r="G10" s="11" t="s">
        <v>1286</v>
      </c>
      <c r="J10" s="30">
        <v>4249.0</v>
      </c>
      <c r="K10" s="27">
        <f t="shared" si="0"/>
        <v>0.15</v>
      </c>
      <c r="L10" s="30">
        <v>3611.65</v>
      </c>
    </row>
    <row r="11" ht="17.0">
      <c r="A11" s="11" t="s">
        <v>1282</v>
      </c>
      <c r="B11" s="11" t="s">
        <v>20</v>
      </c>
      <c r="C11" s="11" t="s">
        <v>1289</v>
      </c>
      <c r="D11" s="11" t="s">
        <v>1290</v>
      </c>
      <c r="E11" s="11" t="s">
        <v>1295</v>
      </c>
      <c r="F11" s="11" t="s">
        <v>1296</v>
      </c>
      <c r="G11" s="11" t="s">
        <v>1286</v>
      </c>
      <c r="J11" s="30">
        <v>3239.0</v>
      </c>
      <c r="K11" s="27">
        <f t="shared" si="0"/>
        <v>0.15</v>
      </c>
      <c r="L11" s="30">
        <v>2753.15</v>
      </c>
      <c r="M11" s="11" t="s">
        <v>1297</v>
      </c>
    </row>
    <row r="12" ht="17.0">
      <c r="A12" s="11" t="s">
        <v>1282</v>
      </c>
      <c r="B12" s="11" t="s">
        <v>20</v>
      </c>
      <c r="C12" s="11" t="s">
        <v>1289</v>
      </c>
      <c r="D12" s="11" t="s">
        <v>1290</v>
      </c>
      <c r="E12" s="11" t="s">
        <v>1298</v>
      </c>
      <c r="F12" s="11" t="s">
        <v>1299</v>
      </c>
      <c r="G12" s="11" t="s">
        <v>1286</v>
      </c>
      <c r="J12" s="30">
        <v>8269.0</v>
      </c>
      <c r="K12" s="27">
        <f t="shared" si="0"/>
        <v>0.15</v>
      </c>
      <c r="L12" s="30">
        <v>7028.65</v>
      </c>
      <c r="M12" s="11" t="s">
        <v>1297</v>
      </c>
    </row>
    <row r="13" ht="17.0">
      <c r="A13" s="11" t="s">
        <v>1282</v>
      </c>
      <c r="B13" s="11" t="s">
        <v>20</v>
      </c>
      <c r="C13" s="11" t="s">
        <v>1289</v>
      </c>
      <c r="D13" s="11" t="s">
        <v>1290</v>
      </c>
      <c r="E13" s="11" t="s">
        <v>1300</v>
      </c>
      <c r="F13" s="11" t="s">
        <v>1301</v>
      </c>
      <c r="G13" s="11" t="s">
        <v>1286</v>
      </c>
      <c r="J13" s="30">
        <v>12949.0</v>
      </c>
      <c r="K13" s="27">
        <f t="shared" si="0"/>
        <v>0.15</v>
      </c>
      <c r="L13" s="30">
        <v>11006.65</v>
      </c>
      <c r="M13" s="11" t="s">
        <v>1297</v>
      </c>
    </row>
    <row r="14" ht="17.0">
      <c r="A14" s="11" t="s">
        <v>1282</v>
      </c>
      <c r="B14" s="11" t="s">
        <v>20</v>
      </c>
      <c r="C14" s="11" t="s">
        <v>1289</v>
      </c>
      <c r="D14" s="11" t="s">
        <v>1290</v>
      </c>
      <c r="E14" s="11" t="s">
        <v>1302</v>
      </c>
      <c r="F14" s="11" t="s">
        <v>1303</v>
      </c>
      <c r="G14" s="11" t="s">
        <v>1286</v>
      </c>
      <c r="J14" s="30">
        <v>15639.0</v>
      </c>
      <c r="K14" s="27">
        <f t="shared" si="0"/>
        <v>0.15</v>
      </c>
      <c r="L14" s="30">
        <v>13293.15</v>
      </c>
      <c r="M14" s="11" t="s">
        <v>1297</v>
      </c>
    </row>
    <row r="15" ht="17.0">
      <c r="A15" s="11" t="s">
        <v>1282</v>
      </c>
      <c r="B15" s="11" t="s">
        <v>20</v>
      </c>
      <c r="C15" s="11" t="s">
        <v>1289</v>
      </c>
      <c r="D15" s="11" t="s">
        <v>1290</v>
      </c>
      <c r="E15" s="33" t="s">
        <v>1304</v>
      </c>
      <c r="F15" s="34" t="s">
        <v>1305</v>
      </c>
      <c r="G15" s="11" t="s">
        <v>1286</v>
      </c>
      <c r="J15" s="15">
        <v>5599.0</v>
      </c>
      <c r="K15" s="27">
        <f t="shared" si="0"/>
        <v>0.196463654223969</v>
      </c>
      <c r="L15" s="15">
        <v>4499.0</v>
      </c>
    </row>
    <row r="16" ht="17.0">
      <c r="A16" s="11" t="s">
        <v>1282</v>
      </c>
      <c r="B16" s="11" t="s">
        <v>20</v>
      </c>
      <c r="C16" s="11" t="s">
        <v>1289</v>
      </c>
      <c r="D16" s="11" t="s">
        <v>1290</v>
      </c>
      <c r="E16" s="35" t="s">
        <v>1306</v>
      </c>
      <c r="F16" s="34" t="s">
        <v>1307</v>
      </c>
      <c r="G16" s="11" t="s">
        <v>1286</v>
      </c>
      <c r="J16" s="15">
        <v>12999.0</v>
      </c>
      <c r="K16" s="27">
        <f t="shared" si="0"/>
        <v>0.155396568966843</v>
      </c>
      <c r="L16" s="15">
        <v>10979.0</v>
      </c>
    </row>
    <row r="17" ht="17.0">
      <c r="A17" s="11" t="s">
        <v>1282</v>
      </c>
      <c r="B17" s="11" t="s">
        <v>20</v>
      </c>
      <c r="C17" s="11" t="s">
        <v>1289</v>
      </c>
      <c r="D17" s="11" t="s">
        <v>1290</v>
      </c>
      <c r="E17" s="33" t="s">
        <v>1308</v>
      </c>
      <c r="F17" s="34" t="s">
        <v>1309</v>
      </c>
      <c r="G17" s="11" t="s">
        <v>1286</v>
      </c>
      <c r="J17" s="15">
        <v>12909.0</v>
      </c>
      <c r="K17" s="27">
        <f t="shared" si="0"/>
        <v>0.14950809512743</v>
      </c>
      <c r="L17" s="15">
        <v>10979.0</v>
      </c>
    </row>
    <row r="18" ht="17.0">
      <c r="A18" s="11" t="s">
        <v>1282</v>
      </c>
      <c r="B18" s="11" t="s">
        <v>20</v>
      </c>
      <c r="C18" s="11" t="s">
        <v>1289</v>
      </c>
      <c r="D18" s="11" t="s">
        <v>1290</v>
      </c>
      <c r="E18" s="35" t="s">
        <v>1310</v>
      </c>
      <c r="F18" s="36" t="s">
        <v>1311</v>
      </c>
      <c r="G18" s="11" t="s">
        <v>1286</v>
      </c>
      <c r="J18" s="15">
        <v>9829.0</v>
      </c>
      <c r="K18" s="27">
        <f t="shared" si="0"/>
        <v>0.149557432088716</v>
      </c>
      <c r="L18" s="37">
        <v>8359.0</v>
      </c>
    </row>
    <row r="19" ht="17.0">
      <c r="A19" s="11" t="s">
        <v>1312</v>
      </c>
      <c r="B19" s="11" t="s">
        <v>20</v>
      </c>
      <c r="C19" s="11" t="s">
        <v>1313</v>
      </c>
      <c r="D19" s="11" t="s">
        <v>1314</v>
      </c>
      <c r="E19" s="1" t="s">
        <v>1315</v>
      </c>
      <c r="F19" s="1" t="s">
        <v>1316</v>
      </c>
      <c r="G19" s="11" t="s">
        <v>1286</v>
      </c>
      <c r="J19" s="15">
        <v>143.25</v>
      </c>
      <c r="K19" s="27">
        <f t="shared" si="0"/>
        <v>0.169284467713788</v>
      </c>
      <c r="L19" s="15">
        <v>119.0</v>
      </c>
    </row>
    <row r="20" ht="17.0">
      <c r="A20" s="11" t="s">
        <v>1312</v>
      </c>
      <c r="B20" s="11" t="s">
        <v>20</v>
      </c>
      <c r="C20" s="11" t="s">
        <v>1313</v>
      </c>
      <c r="D20" s="11" t="s">
        <v>1314</v>
      </c>
      <c r="E20" s="1" t="s">
        <v>1317</v>
      </c>
      <c r="F20" s="1" t="s">
        <v>1318</v>
      </c>
      <c r="G20" s="11" t="s">
        <v>1286</v>
      </c>
      <c r="J20" s="15">
        <v>143.25</v>
      </c>
      <c r="K20" s="27">
        <f t="shared" si="0"/>
        <v>0.169284467713788</v>
      </c>
      <c r="L20" s="15">
        <v>119.0</v>
      </c>
    </row>
    <row r="21" ht="17.0">
      <c r="A21" s="11" t="s">
        <v>1312</v>
      </c>
      <c r="B21" s="11" t="s">
        <v>20</v>
      </c>
      <c r="C21" s="11" t="s">
        <v>1313</v>
      </c>
      <c r="D21" s="11" t="s">
        <v>1314</v>
      </c>
      <c r="E21" s="1" t="s">
        <v>1319</v>
      </c>
      <c r="F21" s="1" t="s">
        <v>1320</v>
      </c>
      <c r="G21" s="11" t="s">
        <v>1286</v>
      </c>
      <c r="J21" s="15">
        <v>143.25</v>
      </c>
      <c r="K21" s="27">
        <f t="shared" si="0"/>
        <v>0.169284467713788</v>
      </c>
      <c r="L21" s="15">
        <v>119.0</v>
      </c>
    </row>
    <row r="22" ht="17.0">
      <c r="A22" s="11" t="s">
        <v>1312</v>
      </c>
      <c r="B22" s="11" t="s">
        <v>20</v>
      </c>
      <c r="C22" s="11" t="s">
        <v>1313</v>
      </c>
      <c r="D22" s="11" t="s">
        <v>1314</v>
      </c>
      <c r="E22" s="1" t="s">
        <v>1321</v>
      </c>
      <c r="F22" s="1" t="s">
        <v>1322</v>
      </c>
      <c r="G22" s="11" t="s">
        <v>1286</v>
      </c>
      <c r="J22" s="15">
        <v>143.25</v>
      </c>
      <c r="K22" s="27">
        <f t="shared" si="0"/>
        <v>0.169284467713788</v>
      </c>
      <c r="L22" s="15">
        <v>119.0</v>
      </c>
    </row>
    <row r="23" ht="17.0">
      <c r="A23" s="1" t="s">
        <v>1323</v>
      </c>
      <c r="B23" s="1" t="s">
        <v>20</v>
      </c>
      <c r="C23" s="1" t="s">
        <v>1324</v>
      </c>
      <c r="D23" s="1" t="s">
        <v>1325</v>
      </c>
      <c r="E23" s="11" t="s">
        <v>1326</v>
      </c>
      <c r="F23" s="11" t="s">
        <v>1327</v>
      </c>
      <c r="G23" s="1" t="s">
        <v>939</v>
      </c>
      <c r="J23" s="30">
        <v>3600.0</v>
      </c>
      <c r="K23" s="27">
        <f t="shared" si="0"/>
        <v>0.111111111111111</v>
      </c>
      <c r="L23" s="30">
        <v>3200.0</v>
      </c>
    </row>
    <row r="24" ht="17.0">
      <c r="A24" s="1" t="s">
        <v>1323</v>
      </c>
      <c r="B24" s="1" t="s">
        <v>20</v>
      </c>
      <c r="C24" s="1" t="s">
        <v>1324</v>
      </c>
      <c r="D24" s="1" t="s">
        <v>1325</v>
      </c>
      <c r="E24" s="11" t="s">
        <v>1328</v>
      </c>
      <c r="F24" s="11" t="s">
        <v>1329</v>
      </c>
      <c r="G24" s="1" t="s">
        <v>939</v>
      </c>
      <c r="J24" s="30">
        <v>2400.0</v>
      </c>
      <c r="K24" s="27">
        <f t="shared" si="0"/>
        <v>0.117083333333332</v>
      </c>
      <c r="L24" s="30">
        <v>2119.0</v>
      </c>
    </row>
    <row r="25" ht="17.0">
      <c r="A25" s="1" t="s">
        <v>1323</v>
      </c>
      <c r="B25" s="1" t="s">
        <v>20</v>
      </c>
      <c r="C25" s="1" t="s">
        <v>1324</v>
      </c>
      <c r="D25" s="1" t="s">
        <v>1325</v>
      </c>
      <c r="E25" s="11" t="s">
        <v>1330</v>
      </c>
      <c r="F25" s="11" t="s">
        <v>1331</v>
      </c>
      <c r="G25" s="1" t="s">
        <v>939</v>
      </c>
      <c r="J25" s="30">
        <v>2279.0</v>
      </c>
      <c r="K25" s="27">
        <f t="shared" si="0"/>
        <v>0.157964019306713</v>
      </c>
      <c r="L25" s="30">
        <v>1919.0</v>
      </c>
    </row>
    <row r="26" ht="17.0">
      <c r="A26" s="1" t="s">
        <v>1323</v>
      </c>
      <c r="B26" s="1" t="s">
        <v>20</v>
      </c>
      <c r="C26" s="1" t="s">
        <v>1324</v>
      </c>
      <c r="D26" s="1" t="s">
        <v>1325</v>
      </c>
      <c r="E26" s="11" t="s">
        <v>1332</v>
      </c>
      <c r="F26" s="11" t="s">
        <v>1333</v>
      </c>
      <c r="G26" s="1" t="s">
        <v>939</v>
      </c>
      <c r="J26" s="30">
        <v>2279.0</v>
      </c>
      <c r="K26" s="27">
        <f t="shared" si="0"/>
        <v>0.157964019306713</v>
      </c>
      <c r="L26" s="30">
        <v>1919.0</v>
      </c>
    </row>
    <row r="27" ht="17.0">
      <c r="A27" s="1" t="s">
        <v>1323</v>
      </c>
      <c r="B27" s="1" t="s">
        <v>20</v>
      </c>
      <c r="C27" s="1" t="s">
        <v>1324</v>
      </c>
      <c r="D27" s="1" t="s">
        <v>1325</v>
      </c>
      <c r="E27" s="11" t="s">
        <v>1334</v>
      </c>
      <c r="F27" s="11" t="s">
        <v>1335</v>
      </c>
      <c r="G27" s="1" t="s">
        <v>939</v>
      </c>
      <c r="J27" s="30">
        <v>1879.0</v>
      </c>
      <c r="K27" s="27">
        <f t="shared" si="0"/>
        <v>0.159659393294306</v>
      </c>
      <c r="L27" s="30">
        <v>1579.0</v>
      </c>
    </row>
    <row r="28" ht="17.0">
      <c r="A28" s="1" t="s">
        <v>1323</v>
      </c>
      <c r="B28" s="1" t="s">
        <v>20</v>
      </c>
      <c r="C28" s="1" t="s">
        <v>1324</v>
      </c>
      <c r="D28" s="1" t="s">
        <v>1325</v>
      </c>
      <c r="E28" s="11" t="s">
        <v>1336</v>
      </c>
      <c r="F28" s="11" t="s">
        <v>1337</v>
      </c>
      <c r="G28" s="1" t="s">
        <v>939</v>
      </c>
      <c r="J28" s="30">
        <v>2649.0</v>
      </c>
      <c r="K28" s="27">
        <f t="shared" si="0"/>
        <v>0.158550396375991</v>
      </c>
      <c r="L28" s="30">
        <v>2229.0</v>
      </c>
    </row>
    <row r="29" ht="17.0">
      <c r="A29" s="1" t="s">
        <v>1323</v>
      </c>
      <c r="B29" s="1" t="s">
        <v>20</v>
      </c>
      <c r="C29" s="1" t="s">
        <v>1324</v>
      </c>
      <c r="D29" s="1" t="s">
        <v>1325</v>
      </c>
      <c r="E29" s="11" t="s">
        <v>1338</v>
      </c>
      <c r="F29" s="11" t="s">
        <v>1339</v>
      </c>
      <c r="G29" s="1" t="s">
        <v>939</v>
      </c>
      <c r="J29" s="30">
        <v>3199.0</v>
      </c>
      <c r="K29" s="27">
        <f t="shared" si="0"/>
        <v>0.156298843388559</v>
      </c>
      <c r="L29" s="30">
        <v>2699.0</v>
      </c>
    </row>
    <row r="30" ht="17.0">
      <c r="A30" s="11" t="s">
        <v>1340</v>
      </c>
      <c r="B30" s="11" t="s">
        <v>20</v>
      </c>
      <c r="C30" s="1" t="s">
        <v>1324</v>
      </c>
      <c r="D30" s="11" t="s">
        <v>1341</v>
      </c>
      <c r="E30" s="11">
        <v>71058.0</v>
      </c>
      <c r="F30" s="11" t="s">
        <v>1342</v>
      </c>
      <c r="G30" s="1" t="s">
        <v>939</v>
      </c>
      <c r="H30" s="11" t="s">
        <v>1343</v>
      </c>
      <c r="I30" s="11" t="s">
        <v>56</v>
      </c>
      <c r="J30" s="30">
        <v>919.0</v>
      </c>
      <c r="K30" s="27">
        <f t="shared" si="0"/>
        <v>0.178454842219804</v>
      </c>
      <c r="L30" s="30">
        <v>755.0</v>
      </c>
    </row>
    <row r="31" ht="17.0">
      <c r="A31" s="11" t="s">
        <v>1340</v>
      </c>
      <c r="B31" s="11" t="s">
        <v>20</v>
      </c>
      <c r="C31" s="1" t="s">
        <v>1324</v>
      </c>
      <c r="D31" s="11" t="s">
        <v>1341</v>
      </c>
      <c r="E31" s="11">
        <v>71059.0</v>
      </c>
      <c r="F31" s="11" t="s">
        <v>1344</v>
      </c>
      <c r="G31" s="1" t="s">
        <v>939</v>
      </c>
      <c r="H31" s="11" t="s">
        <v>1345</v>
      </c>
      <c r="I31" s="11" t="s">
        <v>56</v>
      </c>
      <c r="J31" s="30">
        <v>919.0</v>
      </c>
      <c r="K31" s="27">
        <f t="shared" si="0"/>
        <v>0.178454842219804</v>
      </c>
      <c r="L31" s="30">
        <v>755.0</v>
      </c>
    </row>
    <row r="32" ht="17.0">
      <c r="A32" s="11" t="s">
        <v>1346</v>
      </c>
      <c r="B32" s="11" t="s">
        <v>20</v>
      </c>
      <c r="C32" s="11" t="s">
        <v>1347</v>
      </c>
      <c r="D32" s="11" t="s">
        <v>1348</v>
      </c>
      <c r="E32" s="11" t="s">
        <v>1349</v>
      </c>
      <c r="F32" s="11" t="s">
        <v>1350</v>
      </c>
      <c r="G32" s="1" t="s">
        <v>939</v>
      </c>
      <c r="J32" s="30">
        <v>2459.0</v>
      </c>
      <c r="K32" s="27">
        <f t="shared" si="0"/>
        <v>0.593737291581944</v>
      </c>
      <c r="L32" s="30">
        <v>999.0</v>
      </c>
    </row>
    <row r="33" ht="17.0">
      <c r="A33" s="11" t="s">
        <v>1346</v>
      </c>
      <c r="B33" s="11" t="s">
        <v>20</v>
      </c>
      <c r="C33" s="11" t="s">
        <v>1347</v>
      </c>
      <c r="D33" s="11" t="s">
        <v>1348</v>
      </c>
      <c r="E33" s="11" t="s">
        <v>1351</v>
      </c>
      <c r="F33" s="11" t="s">
        <v>1352</v>
      </c>
      <c r="G33" s="1" t="s">
        <v>939</v>
      </c>
      <c r="J33" s="30">
        <v>2169.0</v>
      </c>
      <c r="K33" s="27">
        <f t="shared" si="0"/>
        <v>0.355002305209774</v>
      </c>
      <c r="L33" s="30">
        <v>1399.0</v>
      </c>
    </row>
    <row r="34" ht="17.0">
      <c r="A34" s="11" t="s">
        <v>1346</v>
      </c>
      <c r="B34" s="11" t="s">
        <v>20</v>
      </c>
      <c r="C34" s="11" t="s">
        <v>1347</v>
      </c>
      <c r="D34" s="11" t="s">
        <v>1348</v>
      </c>
      <c r="E34" s="11" t="s">
        <v>1353</v>
      </c>
      <c r="F34" s="11" t="s">
        <v>1354</v>
      </c>
      <c r="G34" s="1" t="s">
        <v>939</v>
      </c>
      <c r="J34" s="30">
        <v>2129.0</v>
      </c>
      <c r="K34" s="27">
        <f t="shared" si="0"/>
        <v>0.201972757162988</v>
      </c>
      <c r="L34" s="30">
        <v>1699.0</v>
      </c>
    </row>
    <row r="35" ht="17.0">
      <c r="A35" s="11" t="s">
        <v>1346</v>
      </c>
      <c r="B35" s="11" t="s">
        <v>20</v>
      </c>
      <c r="C35" s="11" t="s">
        <v>1347</v>
      </c>
      <c r="D35" s="11" t="s">
        <v>1348</v>
      </c>
      <c r="E35" s="11" t="s">
        <v>1355</v>
      </c>
      <c r="F35" s="11" t="s">
        <v>1356</v>
      </c>
      <c r="G35" s="1" t="s">
        <v>939</v>
      </c>
      <c r="J35" s="30">
        <v>2699.0</v>
      </c>
      <c r="K35" s="27">
        <f t="shared" si="0"/>
        <v>0.629862912189698</v>
      </c>
      <c r="L35" s="30">
        <v>999.0</v>
      </c>
    </row>
  </sheetData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C00000"/>
  </sheetPr>
  <dimension ref="A1:M290"/>
  <sheetViews>
    <sheetView workbookViewId="0"/>
  </sheetViews>
  <sheetFormatPr defaultRowHeight="14.0" customHeight="1"/>
  <cols>
    <col min="1" max="1" style="1" width="15.36"/>
    <col min="2" max="2" style="1" width="19.6"/>
    <col min="3" max="3" style="1" width="21.72"/>
    <col min="4" max="4" style="1" width="22.12"/>
    <col min="5" max="5" style="1" width="23.84"/>
    <col min="6" max="6" style="1" width="63.06"/>
    <col min="7" max="7" style="1" width="7.15"/>
    <col min="8" max="8" style="1" width="7.81"/>
    <col min="9" max="9" style="2" width="13.38"/>
    <col min="10" max="10" style="1" width="12.85"/>
    <col min="11" max="11" style="3" width="11.26"/>
    <col min="12" max="12" style="15" width="14.7"/>
    <col min="13" max="13" style="1" width="49.15"/>
    <col min="14" max="2048" style="1" width="8.87"/>
  </cols>
  <sheetData>
    <row r="1" ht="29.0" customFormat="1" s="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1034</v>
      </c>
      <c r="G1" s="4" t="s">
        <v>6</v>
      </c>
      <c r="H1" s="4" t="s">
        <v>7</v>
      </c>
      <c r="I1" s="7" t="s">
        <v>1036</v>
      </c>
      <c r="J1" s="4" t="s">
        <v>1357</v>
      </c>
      <c r="K1" s="6" t="s">
        <v>1358</v>
      </c>
      <c r="L1" s="20" t="s">
        <v>1359</v>
      </c>
      <c r="M1" s="20" t="s">
        <v>503</v>
      </c>
    </row>
    <row r="2" ht="17.0">
      <c r="A2" s="1" t="s">
        <v>369</v>
      </c>
      <c r="B2" s="1" t="s">
        <v>1360</v>
      </c>
      <c r="C2" s="1" t="s">
        <v>480</v>
      </c>
      <c r="D2" s="1" t="s">
        <v>370</v>
      </c>
      <c r="E2" s="1" t="s">
        <v>1361</v>
      </c>
      <c r="F2" s="1" t="s">
        <v>1362</v>
      </c>
      <c r="G2" s="1" t="s">
        <v>24</v>
      </c>
      <c r="H2" s="1">
        <v>1.44</v>
      </c>
      <c r="I2" s="2">
        <v>984.43</v>
      </c>
      <c r="J2" s="15">
        <f t="shared" ref="J2:J97" si="0">I2/H2</f>
        <v>683.631944444444</v>
      </c>
      <c r="K2" s="3">
        <f t="shared" ref="K2:K197" si="1">(L2/J2-1)*-1</f>
        <v>0.562630151458203</v>
      </c>
      <c r="L2" s="15">
        <v>299.0</v>
      </c>
    </row>
    <row r="3" ht="17.0">
      <c r="A3" s="1" t="s">
        <v>369</v>
      </c>
      <c r="B3" s="1" t="s">
        <v>1360</v>
      </c>
      <c r="C3" s="1" t="s">
        <v>480</v>
      </c>
      <c r="D3" s="1" t="s">
        <v>370</v>
      </c>
      <c r="E3" s="1" t="s">
        <v>1363</v>
      </c>
      <c r="F3" s="1" t="s">
        <v>1364</v>
      </c>
      <c r="G3" s="1" t="s">
        <v>24</v>
      </c>
      <c r="H3" s="1">
        <v>2.56</v>
      </c>
      <c r="I3" s="2">
        <v>2586.43</v>
      </c>
      <c r="J3" s="15">
        <f t="shared" si="0"/>
        <v>1010.32421875</v>
      </c>
      <c r="K3" s="3">
        <f t="shared" si="1"/>
        <v>0.43681445080671</v>
      </c>
      <c r="L3" s="15">
        <v>569.0</v>
      </c>
    </row>
    <row r="4" ht="17.0">
      <c r="A4" s="1" t="s">
        <v>369</v>
      </c>
      <c r="B4" s="1" t="s">
        <v>1360</v>
      </c>
      <c r="C4" s="1" t="s">
        <v>480</v>
      </c>
      <c r="D4" s="1" t="s">
        <v>370</v>
      </c>
      <c r="E4" s="1" t="s">
        <v>1365</v>
      </c>
      <c r="F4" s="1" t="s">
        <v>1366</v>
      </c>
      <c r="G4" s="1" t="s">
        <v>24</v>
      </c>
      <c r="H4" s="1">
        <v>2.88</v>
      </c>
      <c r="I4" s="2">
        <v>2962.0</v>
      </c>
      <c r="J4" s="15">
        <f t="shared" si="0"/>
        <v>1028.47222222222</v>
      </c>
      <c r="K4" s="3">
        <f t="shared" si="1"/>
        <v>0.475921674544224</v>
      </c>
      <c r="L4" s="15">
        <v>539.0</v>
      </c>
    </row>
    <row r="5" ht="17.0">
      <c r="A5" s="1" t="s">
        <v>369</v>
      </c>
      <c r="B5" s="1" t="s">
        <v>1360</v>
      </c>
      <c r="C5" s="1" t="s">
        <v>480</v>
      </c>
      <c r="D5" s="1" t="s">
        <v>370</v>
      </c>
      <c r="E5" s="1" t="s">
        <v>1367</v>
      </c>
      <c r="F5" s="1" t="s">
        <v>1368</v>
      </c>
      <c r="G5" s="1" t="s">
        <v>24</v>
      </c>
      <c r="H5" s="1">
        <v>1.44</v>
      </c>
      <c r="I5" s="2">
        <v>1099.0</v>
      </c>
      <c r="J5" s="15">
        <f t="shared" si="0"/>
        <v>763.194444444444</v>
      </c>
      <c r="K5" s="3">
        <f t="shared" si="1"/>
        <v>0.411683348498634</v>
      </c>
      <c r="L5" s="15">
        <v>449.0</v>
      </c>
    </row>
    <row r="6" ht="17.0">
      <c r="A6" s="1" t="s">
        <v>369</v>
      </c>
      <c r="B6" s="1" t="s">
        <v>1360</v>
      </c>
      <c r="C6" s="1" t="s">
        <v>480</v>
      </c>
      <c r="D6" s="1" t="s">
        <v>370</v>
      </c>
      <c r="E6" s="8" t="s">
        <v>1369</v>
      </c>
      <c r="F6" s="1" t="s">
        <v>1370</v>
      </c>
      <c r="G6" s="1" t="s">
        <v>24</v>
      </c>
      <c r="H6" s="1">
        <v>1.44</v>
      </c>
      <c r="I6" s="2">
        <v>876.0</v>
      </c>
      <c r="J6" s="15">
        <f t="shared" si="0"/>
        <v>608.333333333333</v>
      </c>
      <c r="K6" s="3">
        <f t="shared" si="1"/>
        <v>0.475616438356163</v>
      </c>
      <c r="L6" s="15">
        <v>319.0</v>
      </c>
    </row>
    <row r="7" ht="17.0">
      <c r="A7" s="1" t="s">
        <v>369</v>
      </c>
      <c r="B7" s="1" t="s">
        <v>1360</v>
      </c>
      <c r="C7" s="1" t="s">
        <v>480</v>
      </c>
      <c r="D7" s="1" t="s">
        <v>370</v>
      </c>
      <c r="E7" s="1" t="s">
        <v>1371</v>
      </c>
      <c r="F7" s="1" t="s">
        <v>1372</v>
      </c>
      <c r="G7" s="1" t="s">
        <v>24</v>
      </c>
      <c r="H7" s="1">
        <v>1.44</v>
      </c>
      <c r="I7" s="2">
        <v>682.0</v>
      </c>
      <c r="J7" s="15">
        <f t="shared" si="0"/>
        <v>473.611111111111</v>
      </c>
      <c r="K7" s="3">
        <f t="shared" si="1"/>
        <v>0.558709677419355</v>
      </c>
      <c r="L7" s="15">
        <v>209.0</v>
      </c>
    </row>
    <row r="8" ht="17.0">
      <c r="A8" s="1" t="s">
        <v>369</v>
      </c>
      <c r="B8" s="1" t="s">
        <v>1360</v>
      </c>
      <c r="C8" s="1" t="s">
        <v>480</v>
      </c>
      <c r="D8" s="1" t="s">
        <v>370</v>
      </c>
      <c r="E8" s="1" t="s">
        <v>1373</v>
      </c>
      <c r="F8" s="1" t="s">
        <v>1374</v>
      </c>
      <c r="G8" s="1" t="s">
        <v>24</v>
      </c>
      <c r="H8" s="1">
        <v>1.44</v>
      </c>
      <c r="I8" s="2">
        <v>984.43</v>
      </c>
      <c r="J8" s="15">
        <f t="shared" si="0"/>
        <v>683.631944444444</v>
      </c>
      <c r="K8" s="3">
        <f t="shared" si="1"/>
        <v>0.533374643194539</v>
      </c>
      <c r="L8" s="15">
        <v>319.0</v>
      </c>
    </row>
    <row r="9" ht="17.0">
      <c r="A9" s="1" t="s">
        <v>369</v>
      </c>
      <c r="B9" s="1" t="s">
        <v>1360</v>
      </c>
      <c r="C9" s="1" t="s">
        <v>480</v>
      </c>
      <c r="D9" s="1" t="s">
        <v>370</v>
      </c>
      <c r="E9" s="1" t="s">
        <v>1375</v>
      </c>
      <c r="F9" s="1" t="s">
        <v>1376</v>
      </c>
      <c r="G9" s="1" t="s">
        <v>24</v>
      </c>
      <c r="H9" s="1">
        <v>1.44</v>
      </c>
      <c r="I9" s="2">
        <v>489.0</v>
      </c>
      <c r="J9" s="15">
        <f t="shared" si="0"/>
        <v>339.583333333333</v>
      </c>
      <c r="K9" s="3">
        <f t="shared" si="1"/>
        <v>0.119509202453987</v>
      </c>
      <c r="L9" s="15">
        <v>299.0</v>
      </c>
    </row>
    <row r="10" ht="17.0">
      <c r="A10" s="1" t="s">
        <v>369</v>
      </c>
      <c r="B10" s="1" t="s">
        <v>1360</v>
      </c>
      <c r="C10" s="1" t="s">
        <v>480</v>
      </c>
      <c r="D10" s="1" t="s">
        <v>370</v>
      </c>
      <c r="E10" s="1" t="s">
        <v>1377</v>
      </c>
      <c r="F10" s="1" t="s">
        <v>1378</v>
      </c>
      <c r="G10" s="1" t="s">
        <v>24</v>
      </c>
      <c r="H10" s="1">
        <v>1.44</v>
      </c>
      <c r="I10" s="2">
        <v>1022.18</v>
      </c>
      <c r="J10" s="15">
        <f t="shared" si="0"/>
        <v>709.847222222222</v>
      </c>
      <c r="K10" s="3">
        <f t="shared" si="1"/>
        <v>0.522432448296776</v>
      </c>
      <c r="L10" s="15">
        <v>339.0</v>
      </c>
    </row>
    <row r="11" ht="17.0">
      <c r="A11" s="1" t="s">
        <v>1379</v>
      </c>
      <c r="B11" s="1" t="s">
        <v>1360</v>
      </c>
      <c r="C11" s="1" t="s">
        <v>1380</v>
      </c>
      <c r="D11" s="1" t="s">
        <v>1381</v>
      </c>
      <c r="E11" s="1" t="s">
        <v>1382</v>
      </c>
      <c r="F11" s="1" t="s">
        <v>1383</v>
      </c>
      <c r="G11" s="1" t="s">
        <v>939</v>
      </c>
      <c r="H11" s="1">
        <v>1.0</v>
      </c>
      <c r="I11" s="2">
        <v>32269.9</v>
      </c>
      <c r="J11" s="15">
        <f t="shared" si="0"/>
        <v>32269.9</v>
      </c>
      <c r="K11" s="3">
        <f t="shared" si="1"/>
        <v>0.256303862112991</v>
      </c>
      <c r="L11" s="15">
        <v>23999.0</v>
      </c>
    </row>
    <row r="12" ht="17.0">
      <c r="A12" s="1" t="s">
        <v>1323</v>
      </c>
      <c r="B12" s="1" t="s">
        <v>1360</v>
      </c>
      <c r="C12" s="1" t="s">
        <v>1384</v>
      </c>
      <c r="D12" s="1" t="s">
        <v>1385</v>
      </c>
      <c r="E12" s="1" t="s">
        <v>1386</v>
      </c>
      <c r="F12" s="1" t="s">
        <v>1387</v>
      </c>
      <c r="G12" s="1" t="s">
        <v>939</v>
      </c>
      <c r="H12" s="1">
        <v>1.0</v>
      </c>
      <c r="I12" s="2">
        <v>2468.0</v>
      </c>
      <c r="J12" s="15">
        <f t="shared" si="0"/>
        <v>2468.0</v>
      </c>
      <c r="K12" s="3">
        <f t="shared" si="1"/>
        <v>0.797811993517018</v>
      </c>
      <c r="L12" s="15">
        <v>499.0</v>
      </c>
    </row>
    <row r="13" ht="17.0">
      <c r="A13" s="1" t="s">
        <v>1323</v>
      </c>
      <c r="B13" s="1" t="s">
        <v>1360</v>
      </c>
      <c r="C13" s="1" t="s">
        <v>1384</v>
      </c>
      <c r="D13" s="1" t="s">
        <v>1385</v>
      </c>
      <c r="E13" s="1" t="s">
        <v>1388</v>
      </c>
      <c r="F13" s="1" t="s">
        <v>1389</v>
      </c>
      <c r="G13" s="1" t="s">
        <v>939</v>
      </c>
      <c r="H13" s="1">
        <v>1.0</v>
      </c>
      <c r="I13" s="2">
        <v>3677.0</v>
      </c>
      <c r="J13" s="15">
        <f t="shared" si="0"/>
        <v>3677.0</v>
      </c>
      <c r="K13" s="3">
        <f t="shared" si="1"/>
        <v>0.86429154201795</v>
      </c>
      <c r="L13" s="15">
        <v>499.0</v>
      </c>
    </row>
    <row r="14" ht="17.0">
      <c r="A14" s="1" t="s">
        <v>1323</v>
      </c>
      <c r="B14" s="1" t="s">
        <v>1360</v>
      </c>
      <c r="C14" s="1" t="s">
        <v>1384</v>
      </c>
      <c r="D14" s="1" t="s">
        <v>1385</v>
      </c>
      <c r="E14" s="1" t="s">
        <v>1390</v>
      </c>
      <c r="F14" s="1" t="s">
        <v>1391</v>
      </c>
      <c r="G14" s="1" t="s">
        <v>939</v>
      </c>
      <c r="H14" s="1">
        <v>1.0</v>
      </c>
      <c r="I14" s="2">
        <v>3011.0</v>
      </c>
      <c r="J14" s="15">
        <f t="shared" si="0"/>
        <v>3011.0</v>
      </c>
      <c r="K14" s="3">
        <f t="shared" si="1"/>
        <v>0.86748588508801</v>
      </c>
      <c r="L14" s="15">
        <v>399.0</v>
      </c>
    </row>
    <row r="15" ht="17.0">
      <c r="A15" s="1" t="s">
        <v>1323</v>
      </c>
      <c r="B15" s="1" t="s">
        <v>1360</v>
      </c>
      <c r="C15" s="1" t="s">
        <v>1384</v>
      </c>
      <c r="D15" s="1" t="s">
        <v>1385</v>
      </c>
      <c r="E15" s="1" t="s">
        <v>1392</v>
      </c>
      <c r="F15" s="1" t="s">
        <v>1393</v>
      </c>
      <c r="G15" s="1" t="s">
        <v>939</v>
      </c>
      <c r="H15" s="1">
        <v>1.0</v>
      </c>
      <c r="I15" s="2">
        <v>3676.0</v>
      </c>
      <c r="J15" s="15">
        <f t="shared" si="0"/>
        <v>3676.0</v>
      </c>
      <c r="K15" s="3">
        <f t="shared" si="1"/>
        <v>0.837051142546246</v>
      </c>
      <c r="L15" s="15">
        <v>599.0</v>
      </c>
    </row>
    <row r="16" ht="17.0">
      <c r="A16" s="1" t="s">
        <v>1323</v>
      </c>
      <c r="B16" s="1" t="s">
        <v>1360</v>
      </c>
      <c r="C16" s="1" t="s">
        <v>1384</v>
      </c>
      <c r="D16" s="1" t="s">
        <v>1385</v>
      </c>
      <c r="E16" s="1" t="s">
        <v>1394</v>
      </c>
      <c r="F16" s="1" t="s">
        <v>1395</v>
      </c>
      <c r="G16" s="1" t="s">
        <v>939</v>
      </c>
      <c r="H16" s="1">
        <v>1.0</v>
      </c>
      <c r="I16" s="2">
        <v>3325.0</v>
      </c>
      <c r="J16" s="15">
        <f t="shared" si="0"/>
        <v>3325.0</v>
      </c>
      <c r="K16" s="3">
        <f t="shared" si="1"/>
        <v>0.88</v>
      </c>
      <c r="L16" s="15">
        <v>399.0</v>
      </c>
    </row>
    <row r="17" ht="17.0">
      <c r="A17" s="1" t="s">
        <v>1323</v>
      </c>
      <c r="B17" s="1" t="s">
        <v>1360</v>
      </c>
      <c r="C17" s="1" t="s">
        <v>1384</v>
      </c>
      <c r="D17" s="1" t="s">
        <v>1385</v>
      </c>
      <c r="E17" s="1" t="s">
        <v>1396</v>
      </c>
      <c r="F17" s="1" t="s">
        <v>1397</v>
      </c>
      <c r="G17" s="1" t="s">
        <v>939</v>
      </c>
      <c r="H17" s="1">
        <v>1.0</v>
      </c>
      <c r="I17" s="2">
        <v>3223.0</v>
      </c>
      <c r="J17" s="15">
        <f t="shared" si="0"/>
        <v>3223.0</v>
      </c>
      <c r="K17" s="3">
        <f t="shared" si="1"/>
        <v>0.845175302513187</v>
      </c>
      <c r="L17" s="15">
        <v>499.0</v>
      </c>
    </row>
    <row r="18" ht="17.0">
      <c r="A18" s="1" t="s">
        <v>1323</v>
      </c>
      <c r="B18" s="1" t="s">
        <v>1360</v>
      </c>
      <c r="C18" s="1" t="s">
        <v>1384</v>
      </c>
      <c r="D18" s="1" t="s">
        <v>1385</v>
      </c>
      <c r="E18" s="1" t="s">
        <v>1398</v>
      </c>
      <c r="F18" s="1" t="s">
        <v>1399</v>
      </c>
      <c r="G18" s="1" t="s">
        <v>939</v>
      </c>
      <c r="H18" s="1">
        <v>1.0</v>
      </c>
      <c r="I18" s="2">
        <v>3325.0</v>
      </c>
      <c r="J18" s="15">
        <f t="shared" si="0"/>
        <v>3325.0</v>
      </c>
      <c r="K18" s="3">
        <f t="shared" si="1"/>
        <v>0.849924812030076</v>
      </c>
      <c r="L18" s="15">
        <v>499.0</v>
      </c>
    </row>
    <row r="19" ht="17.0">
      <c r="A19" s="1" t="s">
        <v>1323</v>
      </c>
      <c r="B19" s="1" t="s">
        <v>1360</v>
      </c>
      <c r="C19" s="1" t="s">
        <v>1384</v>
      </c>
      <c r="D19" s="1" t="s">
        <v>1385</v>
      </c>
      <c r="E19" s="1" t="s">
        <v>1400</v>
      </c>
      <c r="F19" s="1" t="s">
        <v>1401</v>
      </c>
      <c r="G19" s="1" t="s">
        <v>939</v>
      </c>
      <c r="H19" s="1">
        <v>1.0</v>
      </c>
      <c r="I19" s="2">
        <v>3849.0</v>
      </c>
      <c r="J19" s="15">
        <f t="shared" si="0"/>
        <v>3849.0</v>
      </c>
      <c r="K19" s="3">
        <f t="shared" si="1"/>
        <v>0.896336710833983</v>
      </c>
      <c r="L19" s="15">
        <v>399.0</v>
      </c>
    </row>
    <row r="20" ht="17.0">
      <c r="A20" s="1" t="s">
        <v>92</v>
      </c>
      <c r="B20" s="1" t="s">
        <v>1360</v>
      </c>
      <c r="C20" s="1" t="s">
        <v>21</v>
      </c>
      <c r="D20" s="1" t="s">
        <v>93</v>
      </c>
      <c r="E20" s="1" t="s">
        <v>1402</v>
      </c>
      <c r="F20" s="1" t="s">
        <v>1403</v>
      </c>
      <c r="G20" s="1" t="s">
        <v>939</v>
      </c>
      <c r="H20" s="1">
        <v>1.8</v>
      </c>
      <c r="I20" s="2">
        <v>556.0</v>
      </c>
      <c r="J20" s="15">
        <f t="shared" si="0"/>
        <v>308.888888888889</v>
      </c>
      <c r="K20" s="3">
        <f t="shared" si="1"/>
        <v>0.420503597122302</v>
      </c>
      <c r="L20" s="15">
        <v>179.0</v>
      </c>
    </row>
    <row r="21" ht="17.0">
      <c r="A21" s="1" t="s">
        <v>92</v>
      </c>
      <c r="B21" s="1" t="s">
        <v>1360</v>
      </c>
      <c r="C21" s="1" t="s">
        <v>21</v>
      </c>
      <c r="D21" s="1" t="s">
        <v>93</v>
      </c>
      <c r="E21" s="1" t="s">
        <v>1404</v>
      </c>
      <c r="F21" s="1" t="s">
        <v>1405</v>
      </c>
      <c r="G21" s="1" t="s">
        <v>939</v>
      </c>
      <c r="H21" s="1">
        <v>1.8</v>
      </c>
      <c r="I21" s="2">
        <v>509.0</v>
      </c>
      <c r="J21" s="15">
        <f t="shared" si="0"/>
        <v>282.777777777778</v>
      </c>
      <c r="K21" s="3">
        <f t="shared" si="1"/>
        <v>0.331630648330058</v>
      </c>
      <c r="L21" s="15">
        <v>189.0</v>
      </c>
    </row>
    <row r="22" ht="17.0">
      <c r="A22" s="1" t="s">
        <v>92</v>
      </c>
      <c r="B22" s="1" t="s">
        <v>1360</v>
      </c>
      <c r="C22" s="1" t="s">
        <v>21</v>
      </c>
      <c r="D22" s="1" t="s">
        <v>93</v>
      </c>
      <c r="E22" s="1" t="s">
        <v>1406</v>
      </c>
      <c r="F22" s="1" t="s">
        <v>1407</v>
      </c>
      <c r="G22" s="1" t="s">
        <v>24</v>
      </c>
      <c r="H22" s="1">
        <v>1.8</v>
      </c>
      <c r="I22" s="2">
        <v>529.0</v>
      </c>
      <c r="J22" s="15">
        <f t="shared" si="0"/>
        <v>293.888888888889</v>
      </c>
      <c r="K22" s="3">
        <f t="shared" si="1"/>
        <v>0.322873345935729</v>
      </c>
      <c r="L22" s="15">
        <v>199.0</v>
      </c>
    </row>
    <row r="23" ht="17.0">
      <c r="A23" s="1" t="s">
        <v>92</v>
      </c>
      <c r="B23" s="1" t="s">
        <v>1360</v>
      </c>
      <c r="C23" s="1" t="s">
        <v>21</v>
      </c>
      <c r="D23" s="1" t="s">
        <v>93</v>
      </c>
      <c r="E23" s="1" t="s">
        <v>1408</v>
      </c>
      <c r="F23" s="1" t="s">
        <v>1409</v>
      </c>
      <c r="G23" s="1" t="s">
        <v>24</v>
      </c>
      <c r="H23" s="1">
        <v>1.99</v>
      </c>
      <c r="I23" s="2">
        <v>379.0</v>
      </c>
      <c r="J23" s="15">
        <f t="shared" si="0"/>
        <v>190.452261306532</v>
      </c>
      <c r="K23" s="3">
        <f t="shared" si="1"/>
        <v>0.375171503957781</v>
      </c>
      <c r="L23" s="15">
        <v>119.0</v>
      </c>
    </row>
    <row r="24" ht="17.0">
      <c r="A24" s="1" t="s">
        <v>92</v>
      </c>
      <c r="B24" s="1" t="s">
        <v>1360</v>
      </c>
      <c r="C24" s="1" t="s">
        <v>21</v>
      </c>
      <c r="D24" s="1" t="s">
        <v>93</v>
      </c>
      <c r="E24" s="1" t="s">
        <v>1410</v>
      </c>
      <c r="F24" s="1" t="s">
        <v>1411</v>
      </c>
      <c r="G24" s="1" t="s">
        <v>24</v>
      </c>
      <c r="H24" s="1">
        <v>1.89</v>
      </c>
      <c r="I24" s="2">
        <v>529.0</v>
      </c>
      <c r="J24" s="15">
        <f t="shared" si="0"/>
        <v>279.89417989418</v>
      </c>
      <c r="K24" s="3">
        <f t="shared" si="1"/>
        <v>0.46765595463138</v>
      </c>
      <c r="L24" s="15">
        <v>149.0</v>
      </c>
    </row>
    <row r="25" ht="17.0">
      <c r="A25" s="1" t="s">
        <v>92</v>
      </c>
      <c r="B25" s="1" t="s">
        <v>1360</v>
      </c>
      <c r="C25" s="1" t="s">
        <v>21</v>
      </c>
      <c r="D25" s="1" t="s">
        <v>93</v>
      </c>
      <c r="E25" s="1" t="s">
        <v>1412</v>
      </c>
      <c r="F25" s="1" t="s">
        <v>1413</v>
      </c>
      <c r="G25" s="1" t="s">
        <v>24</v>
      </c>
      <c r="H25" s="1">
        <v>1.76</v>
      </c>
      <c r="I25" s="2">
        <v>599.0</v>
      </c>
      <c r="J25" s="15">
        <f t="shared" si="0"/>
        <v>340.340909090909</v>
      </c>
      <c r="K25" s="3">
        <f t="shared" si="1"/>
        <v>0.35652754590985</v>
      </c>
      <c r="L25" s="15">
        <v>219.0</v>
      </c>
    </row>
    <row r="26" ht="17.0">
      <c r="A26" s="1" t="s">
        <v>92</v>
      </c>
      <c r="B26" s="1" t="s">
        <v>1360</v>
      </c>
      <c r="C26" s="1" t="s">
        <v>21</v>
      </c>
      <c r="D26" s="1" t="s">
        <v>93</v>
      </c>
      <c r="E26" s="1" t="s">
        <v>1414</v>
      </c>
      <c r="F26" s="1" t="s">
        <v>1415</v>
      </c>
      <c r="G26" s="1" t="s">
        <v>24</v>
      </c>
      <c r="H26" s="1">
        <v>1.83</v>
      </c>
      <c r="I26" s="2">
        <v>629.0</v>
      </c>
      <c r="J26" s="15">
        <f t="shared" si="0"/>
        <v>343.71584699453</v>
      </c>
      <c r="K26" s="3">
        <f t="shared" si="1"/>
        <v>0.304658187599353</v>
      </c>
      <c r="L26" s="15">
        <v>239.0</v>
      </c>
    </row>
    <row r="27" ht="17.0">
      <c r="A27" s="1" t="s">
        <v>92</v>
      </c>
      <c r="B27" s="1" t="s">
        <v>1360</v>
      </c>
      <c r="C27" s="1" t="s">
        <v>21</v>
      </c>
      <c r="D27" s="1" t="s">
        <v>93</v>
      </c>
      <c r="E27" s="1" t="s">
        <v>1416</v>
      </c>
      <c r="F27" s="1" t="s">
        <v>1417</v>
      </c>
      <c r="G27" s="1" t="s">
        <v>24</v>
      </c>
      <c r="H27" s="1">
        <v>1.83</v>
      </c>
      <c r="I27" s="2">
        <v>629.0</v>
      </c>
      <c r="J27" s="15">
        <f t="shared" si="0"/>
        <v>343.71584699453</v>
      </c>
      <c r="K27" s="3">
        <f t="shared" si="1"/>
        <v>0.304658187599353</v>
      </c>
      <c r="L27" s="15">
        <v>239.0</v>
      </c>
    </row>
    <row r="28" ht="17.0">
      <c r="A28" s="1" t="s">
        <v>92</v>
      </c>
      <c r="B28" s="1" t="s">
        <v>1360</v>
      </c>
      <c r="C28" s="1" t="s">
        <v>21</v>
      </c>
      <c r="D28" s="1" t="s">
        <v>93</v>
      </c>
      <c r="E28" s="1" t="s">
        <v>1418</v>
      </c>
      <c r="F28" s="1" t="s">
        <v>1419</v>
      </c>
      <c r="G28" s="1" t="s">
        <v>24</v>
      </c>
      <c r="H28" s="1">
        <v>1.83</v>
      </c>
      <c r="I28" s="2">
        <v>629.0</v>
      </c>
      <c r="J28" s="15">
        <f t="shared" si="0"/>
        <v>343.71584699453</v>
      </c>
      <c r="K28" s="3">
        <f t="shared" si="1"/>
        <v>0.304658187599353</v>
      </c>
      <c r="L28" s="15">
        <v>239.0</v>
      </c>
    </row>
    <row r="29" ht="17.0">
      <c r="A29" s="1" t="s">
        <v>92</v>
      </c>
      <c r="B29" s="1" t="s">
        <v>1360</v>
      </c>
      <c r="C29" s="1" t="s">
        <v>21</v>
      </c>
      <c r="D29" s="1" t="s">
        <v>93</v>
      </c>
      <c r="E29" s="1" t="s">
        <v>1420</v>
      </c>
      <c r="F29" s="1" t="s">
        <v>1421</v>
      </c>
      <c r="G29" s="1" t="s">
        <v>24</v>
      </c>
      <c r="H29" s="1">
        <v>1.8</v>
      </c>
      <c r="I29" s="2">
        <v>425.0</v>
      </c>
      <c r="J29" s="15">
        <f t="shared" si="0"/>
        <v>236.111111111111</v>
      </c>
      <c r="K29" s="3">
        <f t="shared" si="1"/>
        <v>0.411294117647059</v>
      </c>
      <c r="L29" s="15">
        <v>139.0</v>
      </c>
    </row>
    <row r="30" ht="17.0">
      <c r="A30" s="1" t="s">
        <v>92</v>
      </c>
      <c r="B30" s="1" t="s">
        <v>1360</v>
      </c>
      <c r="C30" s="1" t="s">
        <v>21</v>
      </c>
      <c r="D30" s="1" t="s">
        <v>93</v>
      </c>
      <c r="E30" s="1" t="s">
        <v>1422</v>
      </c>
      <c r="F30" s="1" t="s">
        <v>1423</v>
      </c>
      <c r="G30" s="1" t="s">
        <v>24</v>
      </c>
      <c r="H30" s="1">
        <v>1.76</v>
      </c>
      <c r="I30" s="2">
        <v>629.0</v>
      </c>
      <c r="J30" s="15">
        <f t="shared" si="0"/>
        <v>357.386363636363</v>
      </c>
      <c r="K30" s="3">
        <f t="shared" si="1"/>
        <v>0.331255961844196</v>
      </c>
      <c r="L30" s="15">
        <v>239.0</v>
      </c>
    </row>
    <row r="31" ht="17.0">
      <c r="A31" s="1" t="s">
        <v>369</v>
      </c>
      <c r="B31" s="1" t="s">
        <v>1360</v>
      </c>
      <c r="C31" s="1" t="s">
        <v>1203</v>
      </c>
      <c r="D31" s="1" t="s">
        <v>1424</v>
      </c>
      <c r="E31" s="1" t="s">
        <v>1425</v>
      </c>
      <c r="F31" s="1" t="s">
        <v>1426</v>
      </c>
      <c r="G31" s="1" t="s">
        <v>1207</v>
      </c>
      <c r="H31" s="1">
        <v>1.0</v>
      </c>
      <c r="I31" s="2">
        <v>1569.0</v>
      </c>
      <c r="J31" s="15">
        <f t="shared" si="0"/>
        <v>1569.0</v>
      </c>
      <c r="K31" s="3">
        <f t="shared" si="1"/>
        <v>0.108349267049074</v>
      </c>
      <c r="L31" s="15">
        <v>1399.0</v>
      </c>
      <c r="M31" s="2"/>
    </row>
    <row r="32" ht="17.0">
      <c r="A32" s="1" t="s">
        <v>369</v>
      </c>
      <c r="B32" s="1" t="s">
        <v>1360</v>
      </c>
      <c r="C32" s="1" t="s">
        <v>1203</v>
      </c>
      <c r="D32" s="1" t="s">
        <v>1427</v>
      </c>
      <c r="E32" s="8" t="s">
        <v>1428</v>
      </c>
      <c r="F32" s="8" t="s">
        <v>1429</v>
      </c>
      <c r="G32" s="1" t="s">
        <v>1207</v>
      </c>
      <c r="H32" s="1">
        <v>1.0</v>
      </c>
      <c r="I32" s="2">
        <v>4065.0</v>
      </c>
      <c r="J32" s="15">
        <f t="shared" si="0"/>
        <v>4065.0</v>
      </c>
      <c r="K32" s="3">
        <f t="shared" si="1"/>
        <v>0.360639606396063</v>
      </c>
      <c r="L32" s="15">
        <v>2599.0</v>
      </c>
    </row>
    <row r="33" ht="17.0">
      <c r="A33" s="1" t="s">
        <v>369</v>
      </c>
      <c r="B33" s="1" t="s">
        <v>1360</v>
      </c>
      <c r="C33" s="1" t="s">
        <v>1211</v>
      </c>
      <c r="D33" s="1" t="s">
        <v>1430</v>
      </c>
      <c r="E33" s="1" t="s">
        <v>1431</v>
      </c>
      <c r="F33" s="1" t="s">
        <v>1432</v>
      </c>
      <c r="G33" s="1" t="s">
        <v>1207</v>
      </c>
      <c r="H33" s="1">
        <v>1.0</v>
      </c>
      <c r="I33" s="2">
        <v>594.11</v>
      </c>
      <c r="J33" s="15">
        <f t="shared" si="0"/>
        <v>594.11</v>
      </c>
      <c r="K33" s="3">
        <f t="shared" si="1"/>
        <v>0.244247698237698</v>
      </c>
      <c r="L33" s="15">
        <v>449.0</v>
      </c>
    </row>
    <row r="34" ht="17.0">
      <c r="A34" s="1" t="s">
        <v>1312</v>
      </c>
      <c r="B34" s="1" t="s">
        <v>1360</v>
      </c>
      <c r="C34" s="1" t="s">
        <v>1313</v>
      </c>
      <c r="D34" s="1" t="s">
        <v>1314</v>
      </c>
      <c r="E34" s="1" t="s">
        <v>1433</v>
      </c>
      <c r="F34" s="1" t="s">
        <v>1434</v>
      </c>
      <c r="G34" s="1" t="s">
        <v>1207</v>
      </c>
      <c r="H34" s="1">
        <v>1.0</v>
      </c>
      <c r="I34" s="2">
        <v>196.34</v>
      </c>
      <c r="J34" s="15">
        <f t="shared" si="0"/>
        <v>196.34</v>
      </c>
      <c r="K34" s="3">
        <f t="shared" si="1"/>
        <v>0.495772639299175</v>
      </c>
      <c r="L34" s="15">
        <v>99.0</v>
      </c>
    </row>
    <row r="35" ht="17.0">
      <c r="A35" s="1" t="s">
        <v>1312</v>
      </c>
      <c r="B35" s="1" t="s">
        <v>1360</v>
      </c>
      <c r="C35" s="1" t="s">
        <v>1313</v>
      </c>
      <c r="D35" s="1" t="s">
        <v>1314</v>
      </c>
      <c r="E35" s="1" t="s">
        <v>1435</v>
      </c>
      <c r="F35" s="1" t="s">
        <v>1436</v>
      </c>
      <c r="G35" s="1" t="s">
        <v>1207</v>
      </c>
      <c r="H35" s="1">
        <v>1.0</v>
      </c>
      <c r="I35" s="2">
        <v>185.87</v>
      </c>
      <c r="J35" s="15">
        <f t="shared" si="0"/>
        <v>185.87</v>
      </c>
      <c r="K35" s="3">
        <f t="shared" si="1"/>
        <v>0.41356862323129</v>
      </c>
      <c r="L35" s="15">
        <v>109.0</v>
      </c>
    </row>
    <row r="36" ht="17.0">
      <c r="A36" s="1" t="s">
        <v>1312</v>
      </c>
      <c r="B36" s="1" t="s">
        <v>1360</v>
      </c>
      <c r="C36" s="1" t="s">
        <v>1313</v>
      </c>
      <c r="D36" s="1" t="s">
        <v>1314</v>
      </c>
      <c r="E36" s="1" t="s">
        <v>1437</v>
      </c>
      <c r="F36" s="1" t="s">
        <v>1438</v>
      </c>
      <c r="G36" s="1" t="s">
        <v>1207</v>
      </c>
      <c r="H36" s="1">
        <v>1.0</v>
      </c>
      <c r="I36" s="2">
        <v>236.33</v>
      </c>
      <c r="J36" s="15">
        <f t="shared" si="0"/>
        <v>236.33</v>
      </c>
      <c r="K36" s="3">
        <f t="shared" si="1"/>
        <v>0.538780518766132</v>
      </c>
      <c r="L36" s="15">
        <v>109.0</v>
      </c>
    </row>
    <row r="37" ht="17.0">
      <c r="A37" s="1" t="s">
        <v>1312</v>
      </c>
      <c r="B37" s="1" t="s">
        <v>1360</v>
      </c>
      <c r="C37" s="1" t="s">
        <v>1313</v>
      </c>
      <c r="D37" s="1" t="s">
        <v>1314</v>
      </c>
      <c r="E37" s="1" t="s">
        <v>1439</v>
      </c>
      <c r="F37" s="1" t="s">
        <v>1440</v>
      </c>
      <c r="G37" s="1" t="s">
        <v>1207</v>
      </c>
      <c r="H37" s="1">
        <v>1.0</v>
      </c>
      <c r="I37" s="2">
        <v>143.25</v>
      </c>
      <c r="J37" s="15">
        <f t="shared" si="0"/>
        <v>143.25</v>
      </c>
      <c r="K37" s="3">
        <f t="shared" si="1"/>
        <v>0.239092495636997</v>
      </c>
      <c r="L37" s="15">
        <v>109.0</v>
      </c>
    </row>
    <row r="38" ht="17.0">
      <c r="A38" s="1" t="s">
        <v>1312</v>
      </c>
      <c r="B38" s="1" t="s">
        <v>1360</v>
      </c>
      <c r="C38" s="1" t="s">
        <v>1313</v>
      </c>
      <c r="D38" s="1" t="s">
        <v>1314</v>
      </c>
      <c r="E38" s="1" t="s">
        <v>1441</v>
      </c>
      <c r="F38" s="1" t="s">
        <v>1442</v>
      </c>
      <c r="G38" s="1" t="s">
        <v>1207</v>
      </c>
      <c r="H38" s="1">
        <v>1.0</v>
      </c>
      <c r="I38" s="2">
        <v>143.25</v>
      </c>
      <c r="J38" s="15">
        <f t="shared" si="0"/>
        <v>143.25</v>
      </c>
      <c r="K38" s="3">
        <f t="shared" si="1"/>
        <v>0.329842931937172</v>
      </c>
      <c r="L38" s="15">
        <v>96.0</v>
      </c>
    </row>
    <row r="39" ht="17.0">
      <c r="A39" s="1" t="s">
        <v>1312</v>
      </c>
      <c r="B39" s="1" t="s">
        <v>1360</v>
      </c>
      <c r="C39" s="1" t="s">
        <v>1313</v>
      </c>
      <c r="D39" s="1" t="s">
        <v>1314</v>
      </c>
      <c r="E39" s="1" t="s">
        <v>1443</v>
      </c>
      <c r="F39" s="1" t="s">
        <v>1444</v>
      </c>
      <c r="G39" s="1" t="s">
        <v>1207</v>
      </c>
      <c r="H39" s="1">
        <v>1.0</v>
      </c>
      <c r="I39" s="2">
        <v>143.25</v>
      </c>
      <c r="J39" s="15">
        <f t="shared" si="0"/>
        <v>143.25</v>
      </c>
      <c r="K39" s="3">
        <f t="shared" si="1"/>
        <v>0.329842931937172</v>
      </c>
      <c r="L39" s="15">
        <v>96.0</v>
      </c>
    </row>
    <row r="40" ht="17.0">
      <c r="A40" s="1" t="s">
        <v>1312</v>
      </c>
      <c r="B40" s="1" t="s">
        <v>1360</v>
      </c>
      <c r="C40" s="1" t="s">
        <v>1313</v>
      </c>
      <c r="D40" s="1" t="s">
        <v>1314</v>
      </c>
      <c r="E40" s="1" t="s">
        <v>1445</v>
      </c>
      <c r="F40" s="1" t="s">
        <v>1446</v>
      </c>
      <c r="G40" s="1" t="s">
        <v>1207</v>
      </c>
      <c r="H40" s="1">
        <v>1.0</v>
      </c>
      <c r="I40" s="2">
        <v>143.25</v>
      </c>
      <c r="J40" s="15">
        <f t="shared" si="0"/>
        <v>143.25</v>
      </c>
      <c r="K40" s="3">
        <f t="shared" si="1"/>
        <v>0.329842931937172</v>
      </c>
      <c r="L40" s="15">
        <v>96.0</v>
      </c>
    </row>
    <row r="41" ht="17.0">
      <c r="A41" s="1" t="s">
        <v>1312</v>
      </c>
      <c r="B41" s="1" t="s">
        <v>1360</v>
      </c>
      <c r="C41" s="1" t="s">
        <v>1313</v>
      </c>
      <c r="D41" s="1" t="s">
        <v>1314</v>
      </c>
      <c r="E41" s="1" t="s">
        <v>1447</v>
      </c>
      <c r="F41" s="1" t="s">
        <v>1448</v>
      </c>
      <c r="G41" s="1" t="s">
        <v>1207</v>
      </c>
      <c r="H41" s="1">
        <v>1.0</v>
      </c>
      <c r="I41" s="2">
        <v>143.25</v>
      </c>
      <c r="J41" s="15">
        <f t="shared" si="0"/>
        <v>143.25</v>
      </c>
      <c r="K41" s="3">
        <f t="shared" si="1"/>
        <v>0.329842931937172</v>
      </c>
      <c r="L41" s="15">
        <v>96.0</v>
      </c>
    </row>
    <row r="42" ht="17.0">
      <c r="A42" s="1" t="s">
        <v>1312</v>
      </c>
      <c r="B42" s="1" t="s">
        <v>1360</v>
      </c>
      <c r="C42" s="1" t="s">
        <v>1313</v>
      </c>
      <c r="D42" s="1" t="s">
        <v>1314</v>
      </c>
      <c r="E42" s="1" t="s">
        <v>1449</v>
      </c>
      <c r="F42" s="1" t="s">
        <v>1450</v>
      </c>
      <c r="G42" s="1" t="s">
        <v>1207</v>
      </c>
      <c r="H42" s="1">
        <v>1.0</v>
      </c>
      <c r="I42" s="2">
        <v>143.25</v>
      </c>
      <c r="J42" s="15">
        <f t="shared" si="0"/>
        <v>143.25</v>
      </c>
      <c r="K42" s="3">
        <f t="shared" si="1"/>
        <v>0.329842931937172</v>
      </c>
      <c r="L42" s="15">
        <v>96.0</v>
      </c>
    </row>
    <row r="43" ht="17.0">
      <c r="A43" s="1" t="s">
        <v>1312</v>
      </c>
      <c r="B43" s="1" t="s">
        <v>1360</v>
      </c>
      <c r="C43" s="1" t="s">
        <v>1313</v>
      </c>
      <c r="D43" s="1" t="s">
        <v>1314</v>
      </c>
      <c r="E43" s="1" t="s">
        <v>1451</v>
      </c>
      <c r="F43" s="1" t="s">
        <v>1452</v>
      </c>
      <c r="G43" s="1" t="s">
        <v>1207</v>
      </c>
      <c r="H43" s="1">
        <v>1.0</v>
      </c>
      <c r="I43" s="2">
        <v>143.25</v>
      </c>
      <c r="J43" s="15">
        <f t="shared" si="0"/>
        <v>143.25</v>
      </c>
      <c r="K43" s="3">
        <f t="shared" si="1"/>
        <v>0.329842931937172</v>
      </c>
      <c r="L43" s="15">
        <v>96.0</v>
      </c>
    </row>
    <row r="44" ht="17.0">
      <c r="A44" s="1" t="s">
        <v>1312</v>
      </c>
      <c r="B44" s="1" t="s">
        <v>1360</v>
      </c>
      <c r="C44" s="1" t="s">
        <v>1313</v>
      </c>
      <c r="D44" s="1" t="s">
        <v>1314</v>
      </c>
      <c r="E44" s="1" t="s">
        <v>1453</v>
      </c>
      <c r="F44" s="1" t="s">
        <v>1454</v>
      </c>
      <c r="G44" s="1" t="s">
        <v>1207</v>
      </c>
      <c r="H44" s="1">
        <v>1.0</v>
      </c>
      <c r="I44" s="2">
        <v>143.25</v>
      </c>
      <c r="J44" s="15">
        <f t="shared" si="0"/>
        <v>143.25</v>
      </c>
      <c r="K44" s="3">
        <f t="shared" si="1"/>
        <v>0.329842931937172</v>
      </c>
      <c r="L44" s="15">
        <v>96.0</v>
      </c>
    </row>
    <row r="45" ht="17.0">
      <c r="A45" s="1" t="s">
        <v>1312</v>
      </c>
      <c r="B45" s="1" t="s">
        <v>1360</v>
      </c>
      <c r="C45" s="1" t="s">
        <v>1313</v>
      </c>
      <c r="D45" s="1" t="s">
        <v>1314</v>
      </c>
      <c r="E45" s="1" t="s">
        <v>1455</v>
      </c>
      <c r="F45" s="1" t="s">
        <v>1456</v>
      </c>
      <c r="G45" s="1" t="s">
        <v>1207</v>
      </c>
      <c r="H45" s="1">
        <v>1.0</v>
      </c>
      <c r="I45" s="2">
        <v>143.25</v>
      </c>
      <c r="J45" s="15">
        <f t="shared" si="0"/>
        <v>143.25</v>
      </c>
      <c r="K45" s="3">
        <f t="shared" si="1"/>
        <v>0.329842931937172</v>
      </c>
      <c r="L45" s="15">
        <v>96.0</v>
      </c>
    </row>
    <row r="46" ht="17.0">
      <c r="A46" s="1" t="s">
        <v>1312</v>
      </c>
      <c r="B46" s="1" t="s">
        <v>1360</v>
      </c>
      <c r="C46" s="1" t="s">
        <v>1313</v>
      </c>
      <c r="D46" s="1" t="s">
        <v>1314</v>
      </c>
      <c r="E46" s="1" t="s">
        <v>1457</v>
      </c>
      <c r="F46" s="1" t="s">
        <v>1458</v>
      </c>
      <c r="G46" s="1" t="s">
        <v>1207</v>
      </c>
      <c r="H46" s="1">
        <v>1.0</v>
      </c>
      <c r="I46" s="2">
        <v>196.34</v>
      </c>
      <c r="J46" s="15">
        <f t="shared" si="0"/>
        <v>196.34</v>
      </c>
      <c r="K46" s="3">
        <f t="shared" si="1"/>
        <v>0.393908526026281</v>
      </c>
      <c r="L46" s="15">
        <v>119.0</v>
      </c>
    </row>
    <row r="47" ht="17.0">
      <c r="A47" s="1" t="s">
        <v>1312</v>
      </c>
      <c r="B47" s="1" t="s">
        <v>1360</v>
      </c>
      <c r="C47" s="1" t="s">
        <v>1313</v>
      </c>
      <c r="D47" s="1" t="s">
        <v>1314</v>
      </c>
      <c r="E47" s="1" t="s">
        <v>1459</v>
      </c>
      <c r="F47" s="1" t="s">
        <v>1460</v>
      </c>
      <c r="G47" s="1" t="s">
        <v>1207</v>
      </c>
      <c r="H47" s="1">
        <v>1.0</v>
      </c>
      <c r="I47" s="2">
        <v>236.33</v>
      </c>
      <c r="J47" s="15">
        <f t="shared" si="0"/>
        <v>236.33</v>
      </c>
      <c r="K47" s="3">
        <f t="shared" si="1"/>
        <v>0.157957093894131</v>
      </c>
      <c r="L47" s="15">
        <v>199.0</v>
      </c>
    </row>
    <row r="48" ht="17.0">
      <c r="A48" s="1" t="s">
        <v>1312</v>
      </c>
      <c r="B48" s="1" t="s">
        <v>1360</v>
      </c>
      <c r="C48" s="1" t="s">
        <v>1313</v>
      </c>
      <c r="D48" s="1" t="s">
        <v>1314</v>
      </c>
      <c r="E48" s="1" t="s">
        <v>1461</v>
      </c>
      <c r="F48" s="1" t="s">
        <v>1462</v>
      </c>
      <c r="G48" s="1" t="s">
        <v>1207</v>
      </c>
      <c r="H48" s="1">
        <v>1.0</v>
      </c>
      <c r="I48" s="2">
        <v>143.25</v>
      </c>
      <c r="J48" s="15">
        <f t="shared" si="0"/>
        <v>143.25</v>
      </c>
      <c r="K48" s="3">
        <f t="shared" si="1"/>
        <v>0.329842931937172</v>
      </c>
      <c r="L48" s="15">
        <v>96.0</v>
      </c>
    </row>
    <row r="49" ht="17.0">
      <c r="A49" s="1" t="s">
        <v>1312</v>
      </c>
      <c r="B49" s="1" t="s">
        <v>1360</v>
      </c>
      <c r="C49" s="1" t="s">
        <v>1313</v>
      </c>
      <c r="D49" s="1" t="s">
        <v>1314</v>
      </c>
      <c r="E49" s="1" t="s">
        <v>1463</v>
      </c>
      <c r="F49" s="1" t="s">
        <v>1464</v>
      </c>
      <c r="G49" s="1" t="s">
        <v>1207</v>
      </c>
      <c r="H49" s="1">
        <v>1.0</v>
      </c>
      <c r="I49" s="2">
        <v>143.25</v>
      </c>
      <c r="J49" s="15">
        <f t="shared" si="0"/>
        <v>143.25</v>
      </c>
      <c r="K49" s="3">
        <f t="shared" si="1"/>
        <v>0.448516579406632</v>
      </c>
      <c r="L49" s="15">
        <v>79.0</v>
      </c>
    </row>
    <row r="50" ht="17.0">
      <c r="A50" s="1" t="s">
        <v>1312</v>
      </c>
      <c r="B50" s="1" t="s">
        <v>1360</v>
      </c>
      <c r="C50" s="1" t="s">
        <v>1313</v>
      </c>
      <c r="D50" s="1" t="s">
        <v>1314</v>
      </c>
      <c r="E50" s="1" t="s">
        <v>1465</v>
      </c>
      <c r="F50" s="1" t="s">
        <v>1466</v>
      </c>
      <c r="G50" s="1" t="s">
        <v>1207</v>
      </c>
      <c r="H50" s="1">
        <v>1.0</v>
      </c>
      <c r="I50" s="2">
        <v>143.25</v>
      </c>
      <c r="J50" s="15">
        <f t="shared" si="0"/>
        <v>143.25</v>
      </c>
      <c r="K50" s="3">
        <f t="shared" si="1"/>
        <v>0.448516579406632</v>
      </c>
      <c r="L50" s="15">
        <v>79.0</v>
      </c>
    </row>
    <row r="51" ht="17.0">
      <c r="A51" s="1" t="s">
        <v>1312</v>
      </c>
      <c r="B51" s="1" t="s">
        <v>1360</v>
      </c>
      <c r="C51" s="1" t="s">
        <v>1313</v>
      </c>
      <c r="D51" s="1" t="s">
        <v>1314</v>
      </c>
      <c r="E51" s="1" t="s">
        <v>1467</v>
      </c>
      <c r="F51" s="1" t="s">
        <v>1468</v>
      </c>
      <c r="G51" s="1" t="s">
        <v>1207</v>
      </c>
      <c r="H51" s="1">
        <v>1.0</v>
      </c>
      <c r="I51" s="2">
        <v>185.87</v>
      </c>
      <c r="J51" s="15">
        <f t="shared" si="0"/>
        <v>185.87</v>
      </c>
      <c r="K51" s="3">
        <f t="shared" si="1"/>
        <v>0.305966535750794</v>
      </c>
      <c r="L51" s="15">
        <v>129.0</v>
      </c>
    </row>
    <row r="52" ht="17.0">
      <c r="A52" s="1" t="s">
        <v>1312</v>
      </c>
      <c r="B52" s="1" t="s">
        <v>1360</v>
      </c>
      <c r="C52" s="1" t="s">
        <v>1313</v>
      </c>
      <c r="D52" s="1" t="s">
        <v>1314</v>
      </c>
      <c r="E52" s="1" t="s">
        <v>1469</v>
      </c>
      <c r="F52" s="1" t="s">
        <v>1470</v>
      </c>
      <c r="G52" s="1" t="s">
        <v>1207</v>
      </c>
      <c r="H52" s="1">
        <v>1.0</v>
      </c>
      <c r="I52" s="2">
        <v>99.32</v>
      </c>
      <c r="J52" s="15">
        <f t="shared" si="0"/>
        <v>99.32</v>
      </c>
      <c r="K52" s="3">
        <f t="shared" si="1"/>
        <v>0.204591220298027</v>
      </c>
      <c r="L52" s="15">
        <v>79.0</v>
      </c>
    </row>
    <row r="53" ht="17.0">
      <c r="A53" s="1" t="s">
        <v>1312</v>
      </c>
      <c r="B53" s="1" t="s">
        <v>1360</v>
      </c>
      <c r="C53" s="1" t="s">
        <v>1313</v>
      </c>
      <c r="D53" s="1" t="s">
        <v>1314</v>
      </c>
      <c r="E53" s="1" t="s">
        <v>1471</v>
      </c>
      <c r="F53" s="1" t="s">
        <v>1472</v>
      </c>
      <c r="G53" s="1" t="s">
        <v>1207</v>
      </c>
      <c r="H53" s="1">
        <v>1.0</v>
      </c>
      <c r="I53" s="2">
        <v>196.34</v>
      </c>
      <c r="J53" s="15">
        <f t="shared" si="0"/>
        <v>196.34</v>
      </c>
      <c r="K53" s="3">
        <f t="shared" si="1"/>
        <v>0.597636752572067</v>
      </c>
      <c r="L53" s="15">
        <v>79.0</v>
      </c>
    </row>
    <row r="54" ht="17.0">
      <c r="A54" s="1" t="s">
        <v>1312</v>
      </c>
      <c r="B54" s="1" t="s">
        <v>1360</v>
      </c>
      <c r="C54" s="1" t="s">
        <v>1313</v>
      </c>
      <c r="D54" s="1" t="s">
        <v>1314</v>
      </c>
      <c r="E54" s="1" t="s">
        <v>1473</v>
      </c>
      <c r="F54" s="1" t="s">
        <v>1474</v>
      </c>
      <c r="G54" s="1" t="s">
        <v>1207</v>
      </c>
      <c r="H54" s="1">
        <v>1.0</v>
      </c>
      <c r="I54" s="2">
        <v>396.0</v>
      </c>
      <c r="J54" s="15">
        <f t="shared" si="0"/>
        <v>396.0</v>
      </c>
      <c r="K54" s="3">
        <f t="shared" si="1"/>
        <v>0.800505050505048</v>
      </c>
      <c r="L54" s="15">
        <v>79.0</v>
      </c>
    </row>
    <row r="55" ht="17.0">
      <c r="A55" s="1" t="s">
        <v>1312</v>
      </c>
      <c r="B55" s="1" t="s">
        <v>1360</v>
      </c>
      <c r="C55" s="1" t="s">
        <v>1313</v>
      </c>
      <c r="D55" s="1" t="s">
        <v>1314</v>
      </c>
      <c r="E55" s="1" t="s">
        <v>1475</v>
      </c>
      <c r="F55" s="1" t="s">
        <v>1476</v>
      </c>
      <c r="G55" s="1" t="s">
        <v>1207</v>
      </c>
      <c r="H55" s="1">
        <v>1.0</v>
      </c>
      <c r="I55" s="2">
        <v>396.0</v>
      </c>
      <c r="J55" s="15">
        <f t="shared" si="0"/>
        <v>396.0</v>
      </c>
      <c r="K55" s="3">
        <f t="shared" si="1"/>
        <v>0.800505050505048</v>
      </c>
      <c r="L55" s="15">
        <v>79.0</v>
      </c>
    </row>
    <row r="56" ht="17.0">
      <c r="A56" s="1" t="s">
        <v>1312</v>
      </c>
      <c r="B56" s="1" t="s">
        <v>1360</v>
      </c>
      <c r="C56" s="1" t="s">
        <v>1313</v>
      </c>
      <c r="D56" s="1" t="s">
        <v>1314</v>
      </c>
      <c r="E56" s="1" t="s">
        <v>1477</v>
      </c>
      <c r="F56" s="1" t="s">
        <v>1478</v>
      </c>
      <c r="G56" s="1" t="s">
        <v>1207</v>
      </c>
      <c r="H56" s="1">
        <v>1.0</v>
      </c>
      <c r="I56" s="2">
        <v>89.0</v>
      </c>
      <c r="J56" s="15">
        <f t="shared" si="0"/>
        <v>89.0</v>
      </c>
      <c r="K56" s="3">
        <f t="shared" si="1"/>
        <v>0.112359550561798</v>
      </c>
      <c r="L56" s="15">
        <v>79.0</v>
      </c>
    </row>
    <row r="57" ht="17.0">
      <c r="A57" s="1" t="s">
        <v>1312</v>
      </c>
      <c r="B57" s="1" t="s">
        <v>1360</v>
      </c>
      <c r="C57" s="1" t="s">
        <v>1479</v>
      </c>
      <c r="D57" s="1" t="s">
        <v>1480</v>
      </c>
      <c r="E57" s="1" t="s">
        <v>1481</v>
      </c>
      <c r="F57" s="1" t="s">
        <v>1482</v>
      </c>
      <c r="G57" s="1" t="s">
        <v>1207</v>
      </c>
      <c r="H57" s="1">
        <v>1.0</v>
      </c>
      <c r="I57" s="2">
        <v>244.08</v>
      </c>
      <c r="J57" s="15">
        <f t="shared" si="0"/>
        <v>244.08</v>
      </c>
      <c r="K57" s="3">
        <f t="shared" si="1"/>
        <v>0.594395280235989</v>
      </c>
      <c r="L57" s="15">
        <v>99.0</v>
      </c>
    </row>
    <row r="58" ht="17.0">
      <c r="A58" s="1" t="s">
        <v>1312</v>
      </c>
      <c r="B58" s="1" t="s">
        <v>1360</v>
      </c>
      <c r="C58" s="1" t="s">
        <v>1479</v>
      </c>
      <c r="D58" s="1" t="s">
        <v>1480</v>
      </c>
      <c r="E58" s="1" t="s">
        <v>1483</v>
      </c>
      <c r="F58" s="1" t="s">
        <v>1484</v>
      </c>
      <c r="G58" s="1" t="s">
        <v>1207</v>
      </c>
      <c r="H58" s="1">
        <v>1.0</v>
      </c>
      <c r="I58" s="2">
        <v>283.92</v>
      </c>
      <c r="J58" s="15">
        <f t="shared" si="0"/>
        <v>283.92</v>
      </c>
      <c r="K58" s="3">
        <f t="shared" si="1"/>
        <v>0.651310228233306</v>
      </c>
      <c r="L58" s="15">
        <v>99.0</v>
      </c>
    </row>
    <row r="59" ht="17.0">
      <c r="A59" s="1" t="s">
        <v>1312</v>
      </c>
      <c r="B59" s="1" t="s">
        <v>1360</v>
      </c>
      <c r="C59" s="1" t="s">
        <v>1479</v>
      </c>
      <c r="D59" s="1" t="s">
        <v>1480</v>
      </c>
      <c r="E59" s="1" t="s">
        <v>1485</v>
      </c>
      <c r="F59" s="1" t="s">
        <v>1486</v>
      </c>
      <c r="G59" s="1" t="s">
        <v>1207</v>
      </c>
      <c r="H59" s="1">
        <v>1.0</v>
      </c>
      <c r="I59" s="2">
        <v>187.07</v>
      </c>
      <c r="J59" s="15">
        <f t="shared" si="0"/>
        <v>187.07</v>
      </c>
      <c r="K59" s="3">
        <f t="shared" si="1"/>
        <v>0.47078633666542</v>
      </c>
      <c r="L59" s="15">
        <v>99.0</v>
      </c>
    </row>
    <row r="60" ht="17.0">
      <c r="A60" s="1" t="s">
        <v>1312</v>
      </c>
      <c r="B60" s="1" t="s">
        <v>1360</v>
      </c>
      <c r="C60" s="1" t="s">
        <v>1479</v>
      </c>
      <c r="D60" s="1" t="s">
        <v>1480</v>
      </c>
      <c r="E60" s="1" t="s">
        <v>1487</v>
      </c>
      <c r="F60" s="1" t="s">
        <v>1488</v>
      </c>
      <c r="G60" s="1" t="s">
        <v>1207</v>
      </c>
      <c r="H60" s="1">
        <v>1.0</v>
      </c>
      <c r="I60" s="2">
        <v>369.0</v>
      </c>
      <c r="J60" s="15">
        <f t="shared" si="0"/>
        <v>369.0</v>
      </c>
      <c r="K60" s="3">
        <f t="shared" si="1"/>
        <v>0.73170731707317</v>
      </c>
      <c r="L60" s="15">
        <v>99.0</v>
      </c>
    </row>
    <row r="61" ht="17.0">
      <c r="A61" s="1" t="s">
        <v>1312</v>
      </c>
      <c r="B61" s="1" t="s">
        <v>1360</v>
      </c>
      <c r="C61" s="1" t="s">
        <v>1479</v>
      </c>
      <c r="D61" s="1" t="s">
        <v>1480</v>
      </c>
      <c r="E61" s="1" t="s">
        <v>1489</v>
      </c>
      <c r="F61" s="1" t="s">
        <v>1490</v>
      </c>
      <c r="G61" s="1" t="s">
        <v>1207</v>
      </c>
      <c r="H61" s="1">
        <v>1.0</v>
      </c>
      <c r="I61" s="2">
        <v>260.04</v>
      </c>
      <c r="J61" s="15">
        <f t="shared" si="0"/>
        <v>260.04</v>
      </c>
      <c r="K61" s="3">
        <f t="shared" si="1"/>
        <v>0.619289340101522</v>
      </c>
      <c r="L61" s="15">
        <v>99.0</v>
      </c>
    </row>
    <row r="62" ht="17.0">
      <c r="A62" s="1" t="s">
        <v>1312</v>
      </c>
      <c r="B62" s="1" t="s">
        <v>1360</v>
      </c>
      <c r="C62" s="1" t="s">
        <v>1479</v>
      </c>
      <c r="D62" s="1" t="s">
        <v>1480</v>
      </c>
      <c r="E62" s="1" t="s">
        <v>1491</v>
      </c>
      <c r="F62" s="1" t="s">
        <v>1492</v>
      </c>
      <c r="G62" s="1" t="s">
        <v>1207</v>
      </c>
      <c r="H62" s="1">
        <v>1.0</v>
      </c>
      <c r="I62" s="2">
        <v>224.25</v>
      </c>
      <c r="J62" s="15">
        <f t="shared" si="0"/>
        <v>224.25</v>
      </c>
      <c r="K62" s="3">
        <f t="shared" si="1"/>
        <v>0.558528428093646</v>
      </c>
      <c r="L62" s="15">
        <v>99.0</v>
      </c>
    </row>
    <row r="63" ht="17.0">
      <c r="A63" s="1" t="s">
        <v>1312</v>
      </c>
      <c r="B63" s="1" t="s">
        <v>1360</v>
      </c>
      <c r="C63" s="1" t="s">
        <v>1479</v>
      </c>
      <c r="D63" s="1" t="s">
        <v>1493</v>
      </c>
      <c r="E63" s="1" t="s">
        <v>1494</v>
      </c>
      <c r="F63" s="1" t="s">
        <v>1495</v>
      </c>
      <c r="G63" s="1" t="s">
        <v>1207</v>
      </c>
      <c r="H63" s="1">
        <v>1.0</v>
      </c>
      <c r="I63" s="2">
        <v>219.0</v>
      </c>
      <c r="J63" s="15">
        <f t="shared" si="0"/>
        <v>219.0</v>
      </c>
      <c r="K63" s="3">
        <f t="shared" si="1"/>
        <v>0.273972602739726</v>
      </c>
      <c r="L63" s="15">
        <v>159.0</v>
      </c>
    </row>
    <row r="64" ht="17.0">
      <c r="A64" s="1" t="s">
        <v>1312</v>
      </c>
      <c r="B64" s="1" t="s">
        <v>1360</v>
      </c>
      <c r="C64" s="1" t="s">
        <v>1479</v>
      </c>
      <c r="D64" s="1" t="s">
        <v>1493</v>
      </c>
      <c r="E64" s="1" t="s">
        <v>1496</v>
      </c>
      <c r="F64" s="1" t="s">
        <v>1497</v>
      </c>
      <c r="G64" s="1" t="s">
        <v>1207</v>
      </c>
      <c r="H64" s="1">
        <v>1.0</v>
      </c>
      <c r="I64" s="2">
        <v>89.0</v>
      </c>
      <c r="J64" s="15">
        <f t="shared" si="0"/>
        <v>89.0</v>
      </c>
      <c r="K64" s="3">
        <f t="shared" si="1"/>
        <v>0.0</v>
      </c>
      <c r="L64" s="15">
        <v>89.0</v>
      </c>
    </row>
    <row r="65" ht="17.0">
      <c r="A65" s="1" t="s">
        <v>1312</v>
      </c>
      <c r="B65" s="1" t="s">
        <v>1360</v>
      </c>
      <c r="C65" s="1" t="s">
        <v>1479</v>
      </c>
      <c r="D65" s="1" t="s">
        <v>1493</v>
      </c>
      <c r="E65" s="1" t="s">
        <v>1498</v>
      </c>
      <c r="F65" s="1" t="s">
        <v>1499</v>
      </c>
      <c r="G65" s="1" t="s">
        <v>1207</v>
      </c>
      <c r="H65" s="1">
        <v>1.0</v>
      </c>
      <c r="I65" s="2">
        <v>169.0</v>
      </c>
      <c r="J65" s="15">
        <f t="shared" si="0"/>
        <v>169.0</v>
      </c>
      <c r="K65" s="3">
        <f t="shared" si="1"/>
        <v>0.236686390532544</v>
      </c>
      <c r="L65" s="15">
        <v>129.0</v>
      </c>
    </row>
    <row r="66" ht="17.0">
      <c r="A66" s="1" t="s">
        <v>1312</v>
      </c>
      <c r="B66" s="1" t="s">
        <v>1360</v>
      </c>
      <c r="C66" s="1" t="s">
        <v>1479</v>
      </c>
      <c r="D66" s="1" t="s">
        <v>1480</v>
      </c>
      <c r="E66" s="1" t="s">
        <v>1500</v>
      </c>
      <c r="F66" s="1" t="s">
        <v>1501</v>
      </c>
      <c r="G66" s="1" t="s">
        <v>1207</v>
      </c>
      <c r="H66" s="1">
        <v>1.0</v>
      </c>
      <c r="I66" s="2">
        <v>147.55</v>
      </c>
      <c r="J66" s="15">
        <f t="shared" si="0"/>
        <v>147.55</v>
      </c>
      <c r="K66" s="3">
        <f t="shared" si="1"/>
        <v>0.12572009488309</v>
      </c>
      <c r="L66" s="15">
        <v>129.0</v>
      </c>
    </row>
    <row r="67" ht="17.0">
      <c r="A67" s="1" t="s">
        <v>1312</v>
      </c>
      <c r="B67" s="1" t="s">
        <v>1360</v>
      </c>
      <c r="C67" s="1" t="s">
        <v>1479</v>
      </c>
      <c r="D67" s="1" t="s">
        <v>1480</v>
      </c>
      <c r="E67" s="1" t="s">
        <v>1502</v>
      </c>
      <c r="F67" s="1" t="s">
        <v>1503</v>
      </c>
      <c r="G67" s="1" t="s">
        <v>1207</v>
      </c>
      <c r="H67" s="1">
        <v>1.0</v>
      </c>
      <c r="I67" s="2">
        <v>276.85</v>
      </c>
      <c r="J67" s="15">
        <f t="shared" si="0"/>
        <v>276.85</v>
      </c>
      <c r="K67" s="3">
        <f t="shared" si="1"/>
        <v>0.534043705977967</v>
      </c>
      <c r="L67" s="15">
        <v>129.0</v>
      </c>
    </row>
    <row r="68" ht="17.0">
      <c r="A68" s="1" t="s">
        <v>1312</v>
      </c>
      <c r="B68" s="1" t="s">
        <v>1360</v>
      </c>
      <c r="C68" s="1" t="s">
        <v>1479</v>
      </c>
      <c r="D68" s="1" t="s">
        <v>1493</v>
      </c>
      <c r="E68" s="1" t="s">
        <v>1504</v>
      </c>
      <c r="F68" s="1" t="s">
        <v>1505</v>
      </c>
      <c r="G68" s="1" t="s">
        <v>1207</v>
      </c>
      <c r="H68" s="1">
        <v>1.0</v>
      </c>
      <c r="I68" s="2">
        <v>107.35</v>
      </c>
      <c r="J68" s="15">
        <f t="shared" si="0"/>
        <v>107.35</v>
      </c>
      <c r="K68" s="3">
        <f t="shared" si="1"/>
        <v>0.170936190032603</v>
      </c>
      <c r="L68" s="15">
        <v>89.0</v>
      </c>
    </row>
    <row r="69" ht="17.0">
      <c r="A69" s="1" t="s">
        <v>1312</v>
      </c>
      <c r="B69" s="1" t="s">
        <v>1360</v>
      </c>
      <c r="C69" s="1" t="s">
        <v>1479</v>
      </c>
      <c r="D69" s="1" t="s">
        <v>1480</v>
      </c>
      <c r="E69" s="1" t="s">
        <v>1506</v>
      </c>
      <c r="F69" s="1" t="s">
        <v>1507</v>
      </c>
      <c r="G69" s="1" t="s">
        <v>1207</v>
      </c>
      <c r="H69" s="1">
        <v>1.0</v>
      </c>
      <c r="I69" s="2">
        <v>107.35</v>
      </c>
      <c r="J69" s="15">
        <f t="shared" si="0"/>
        <v>107.35</v>
      </c>
      <c r="K69" s="3">
        <f t="shared" si="1"/>
        <v>0.170936190032603</v>
      </c>
      <c r="L69" s="15">
        <v>89.0</v>
      </c>
    </row>
    <row r="70" ht="17.0">
      <c r="A70" s="1" t="s">
        <v>1312</v>
      </c>
      <c r="B70" s="1" t="s">
        <v>1360</v>
      </c>
      <c r="C70" s="1" t="s">
        <v>1479</v>
      </c>
      <c r="D70" s="1" t="s">
        <v>1480</v>
      </c>
      <c r="E70" s="1" t="s">
        <v>1508</v>
      </c>
      <c r="F70" s="1" t="s">
        <v>1509</v>
      </c>
      <c r="G70" s="1" t="s">
        <v>1207</v>
      </c>
      <c r="H70" s="1">
        <v>1.0</v>
      </c>
      <c r="I70" s="2">
        <v>184.44</v>
      </c>
      <c r="J70" s="15">
        <f t="shared" si="0"/>
        <v>184.44</v>
      </c>
      <c r="K70" s="3">
        <f t="shared" si="1"/>
        <v>0.517458252006072</v>
      </c>
      <c r="L70" s="15">
        <v>89.0</v>
      </c>
    </row>
    <row r="71" ht="17.0">
      <c r="A71" s="1" t="s">
        <v>1312</v>
      </c>
      <c r="B71" s="1" t="s">
        <v>1360</v>
      </c>
      <c r="C71" s="1" t="s">
        <v>1479</v>
      </c>
      <c r="D71" s="1" t="s">
        <v>1480</v>
      </c>
      <c r="E71" s="1" t="s">
        <v>1510</v>
      </c>
      <c r="F71" s="1" t="s">
        <v>1511</v>
      </c>
      <c r="G71" s="1" t="s">
        <v>1207</v>
      </c>
      <c r="H71" s="1">
        <v>1.0</v>
      </c>
      <c r="I71" s="2">
        <v>119.0</v>
      </c>
      <c r="J71" s="15">
        <f t="shared" si="0"/>
        <v>119.0</v>
      </c>
      <c r="K71" s="3">
        <f t="shared" si="1"/>
        <v>0.252100840336134</v>
      </c>
      <c r="L71" s="15">
        <v>89.0</v>
      </c>
    </row>
    <row r="72" ht="17.0">
      <c r="A72" s="1" t="s">
        <v>1312</v>
      </c>
      <c r="B72" s="1" t="s">
        <v>1360</v>
      </c>
      <c r="C72" s="1" t="s">
        <v>1479</v>
      </c>
      <c r="D72" s="1" t="s">
        <v>1480</v>
      </c>
      <c r="E72" s="1" t="s">
        <v>1512</v>
      </c>
      <c r="F72" s="1" t="s">
        <v>1513</v>
      </c>
      <c r="G72" s="1" t="s">
        <v>1207</v>
      </c>
      <c r="H72" s="1">
        <v>1.0</v>
      </c>
      <c r="I72" s="2">
        <v>202.48</v>
      </c>
      <c r="J72" s="15">
        <f t="shared" si="0"/>
        <v>202.48</v>
      </c>
      <c r="K72" s="3">
        <f t="shared" si="1"/>
        <v>0.560450414855789</v>
      </c>
      <c r="L72" s="15">
        <v>89.0</v>
      </c>
    </row>
    <row r="73" ht="17.0">
      <c r="A73" s="1" t="s">
        <v>1312</v>
      </c>
      <c r="B73" s="1" t="s">
        <v>1360</v>
      </c>
      <c r="C73" s="1" t="s">
        <v>1479</v>
      </c>
      <c r="D73" s="1" t="s">
        <v>1480</v>
      </c>
      <c r="E73" s="1" t="s">
        <v>1514</v>
      </c>
      <c r="F73" s="1" t="s">
        <v>1515</v>
      </c>
      <c r="G73" s="1" t="s">
        <v>1207</v>
      </c>
      <c r="H73" s="1">
        <v>1.0</v>
      </c>
      <c r="I73" s="2">
        <v>330.91</v>
      </c>
      <c r="J73" s="15">
        <f t="shared" si="0"/>
        <v>330.91</v>
      </c>
      <c r="K73" s="3">
        <f t="shared" si="1"/>
        <v>0.731044694932157</v>
      </c>
      <c r="L73" s="15">
        <v>89.0</v>
      </c>
    </row>
    <row r="74" ht="17.0">
      <c r="A74" s="1" t="s">
        <v>1312</v>
      </c>
      <c r="B74" s="1" t="s">
        <v>1360</v>
      </c>
      <c r="C74" s="1" t="s">
        <v>1479</v>
      </c>
      <c r="D74" s="1" t="s">
        <v>1480</v>
      </c>
      <c r="E74" s="1" t="s">
        <v>1516</v>
      </c>
      <c r="F74" s="1" t="s">
        <v>1517</v>
      </c>
      <c r="G74" s="1" t="s">
        <v>1207</v>
      </c>
      <c r="H74" s="1">
        <v>1.0</v>
      </c>
      <c r="I74" s="2">
        <v>323.52</v>
      </c>
      <c r="J74" s="15">
        <f t="shared" si="0"/>
        <v>323.52</v>
      </c>
      <c r="K74" s="3">
        <f t="shared" si="1"/>
        <v>0.724901088031652</v>
      </c>
      <c r="L74" s="15">
        <v>89.0</v>
      </c>
    </row>
    <row r="75" ht="17.0">
      <c r="A75" s="1" t="s">
        <v>1312</v>
      </c>
      <c r="B75" s="1" t="s">
        <v>1360</v>
      </c>
      <c r="C75" s="1" t="s">
        <v>1479</v>
      </c>
      <c r="D75" s="1" t="s">
        <v>1480</v>
      </c>
      <c r="E75" s="1" t="s">
        <v>1518</v>
      </c>
      <c r="F75" s="1" t="s">
        <v>1519</v>
      </c>
      <c r="G75" s="1" t="s">
        <v>1207</v>
      </c>
      <c r="H75" s="1">
        <v>1.0</v>
      </c>
      <c r="I75" s="2">
        <v>125.45</v>
      </c>
      <c r="J75" s="15">
        <f t="shared" si="0"/>
        <v>125.45</v>
      </c>
      <c r="K75" s="3">
        <f t="shared" si="1"/>
        <v>0.290554005579911</v>
      </c>
      <c r="L75" s="15">
        <v>89.0</v>
      </c>
    </row>
    <row r="76" ht="17.0">
      <c r="A76" s="1" t="s">
        <v>1312</v>
      </c>
      <c r="B76" s="1" t="s">
        <v>1360</v>
      </c>
      <c r="C76" s="1" t="s">
        <v>1479</v>
      </c>
      <c r="D76" s="1" t="s">
        <v>1480</v>
      </c>
      <c r="E76" s="1" t="s">
        <v>1520</v>
      </c>
      <c r="F76" s="1" t="s">
        <v>1521</v>
      </c>
      <c r="G76" s="1" t="s">
        <v>1207</v>
      </c>
      <c r="H76" s="1">
        <v>1.0</v>
      </c>
      <c r="I76" s="2">
        <v>187.07</v>
      </c>
      <c r="J76" s="15">
        <f t="shared" si="0"/>
        <v>187.07</v>
      </c>
      <c r="K76" s="3">
        <f t="shared" si="1"/>
        <v>0.47078633666542</v>
      </c>
      <c r="L76" s="15">
        <v>99.0</v>
      </c>
    </row>
    <row r="77" ht="17.0">
      <c r="A77" s="1" t="s">
        <v>1312</v>
      </c>
      <c r="B77" s="1" t="s">
        <v>1360</v>
      </c>
      <c r="C77" s="1" t="s">
        <v>1479</v>
      </c>
      <c r="D77" s="1" t="s">
        <v>1480</v>
      </c>
      <c r="E77" s="1" t="s">
        <v>1522</v>
      </c>
      <c r="F77" s="1" t="s">
        <v>1523</v>
      </c>
      <c r="G77" s="1" t="s">
        <v>1207</v>
      </c>
      <c r="H77" s="1">
        <v>1.0</v>
      </c>
      <c r="I77" s="2">
        <v>224.404</v>
      </c>
      <c r="J77" s="15">
        <f t="shared" si="0"/>
        <v>224.404</v>
      </c>
      <c r="K77" s="3">
        <f t="shared" si="1"/>
        <v>0.558831393379796</v>
      </c>
      <c r="L77" s="15">
        <v>99.0</v>
      </c>
    </row>
    <row r="78" ht="17.0">
      <c r="A78" s="1" t="s">
        <v>1312</v>
      </c>
      <c r="B78" s="1" t="s">
        <v>1360</v>
      </c>
      <c r="C78" s="1" t="s">
        <v>1479</v>
      </c>
      <c r="D78" s="1" t="s">
        <v>1480</v>
      </c>
      <c r="E78" s="1" t="s">
        <v>1524</v>
      </c>
      <c r="F78" s="1" t="s">
        <v>1525</v>
      </c>
      <c r="G78" s="1" t="s">
        <v>1207</v>
      </c>
      <c r="H78" s="1">
        <v>1.0</v>
      </c>
      <c r="I78" s="2">
        <v>199.0</v>
      </c>
      <c r="J78" s="15">
        <f t="shared" si="0"/>
        <v>199.0</v>
      </c>
      <c r="K78" s="3">
        <f t="shared" si="1"/>
        <v>0.50251256281407</v>
      </c>
      <c r="L78" s="15">
        <v>99.0</v>
      </c>
    </row>
    <row r="79" ht="17.0">
      <c r="A79" s="1" t="s">
        <v>1312</v>
      </c>
      <c r="B79" s="1" t="s">
        <v>1360</v>
      </c>
      <c r="C79" s="1" t="s">
        <v>1479</v>
      </c>
      <c r="D79" s="1" t="s">
        <v>1493</v>
      </c>
      <c r="E79" s="1" t="s">
        <v>1526</v>
      </c>
      <c r="F79" s="1" t="s">
        <v>1527</v>
      </c>
      <c r="G79" s="1" t="s">
        <v>1207</v>
      </c>
      <c r="H79" s="1">
        <v>1.0</v>
      </c>
      <c r="I79" s="2">
        <v>89.0</v>
      </c>
      <c r="J79" s="15">
        <f t="shared" si="0"/>
        <v>89.0</v>
      </c>
      <c r="K79" s="3">
        <f t="shared" si="1"/>
        <v>0.0</v>
      </c>
      <c r="L79" s="15">
        <v>89.0</v>
      </c>
    </row>
    <row r="80" ht="17.0">
      <c r="A80" s="1" t="s">
        <v>1312</v>
      </c>
      <c r="B80" s="1" t="s">
        <v>1360</v>
      </c>
      <c r="C80" s="1" t="s">
        <v>1479</v>
      </c>
      <c r="D80" s="1" t="s">
        <v>1480</v>
      </c>
      <c r="E80" s="1" t="s">
        <v>1528</v>
      </c>
      <c r="F80" s="1" t="s">
        <v>1529</v>
      </c>
      <c r="G80" s="1" t="s">
        <v>1207</v>
      </c>
      <c r="H80" s="1">
        <v>1.0</v>
      </c>
      <c r="I80" s="2">
        <v>198.07</v>
      </c>
      <c r="J80" s="15">
        <f t="shared" si="0"/>
        <v>198.07</v>
      </c>
      <c r="K80" s="3">
        <f t="shared" si="1"/>
        <v>0.50017670520522</v>
      </c>
      <c r="L80" s="15">
        <v>99.0</v>
      </c>
    </row>
    <row r="81" ht="17.0">
      <c r="A81" s="1" t="s">
        <v>1312</v>
      </c>
      <c r="B81" s="1" t="s">
        <v>1360</v>
      </c>
      <c r="C81" s="1" t="s">
        <v>1479</v>
      </c>
      <c r="D81" s="1" t="s">
        <v>1480</v>
      </c>
      <c r="E81" s="1" t="s">
        <v>1530</v>
      </c>
      <c r="F81" s="1" t="s">
        <v>1531</v>
      </c>
      <c r="G81" s="1" t="s">
        <v>1207</v>
      </c>
      <c r="H81" s="1">
        <v>1.0</v>
      </c>
      <c r="I81" s="2">
        <v>125.45</v>
      </c>
      <c r="J81" s="15">
        <f t="shared" si="0"/>
        <v>125.45</v>
      </c>
      <c r="K81" s="3">
        <f t="shared" si="1"/>
        <v>0.210840972499004</v>
      </c>
      <c r="L81" s="15">
        <v>99.0</v>
      </c>
    </row>
    <row r="82" ht="17.0">
      <c r="A82" s="1" t="s">
        <v>1312</v>
      </c>
      <c r="B82" s="1" t="s">
        <v>1360</v>
      </c>
      <c r="C82" s="1" t="s">
        <v>1479</v>
      </c>
      <c r="D82" s="1" t="s">
        <v>1480</v>
      </c>
      <c r="E82" s="1" t="s">
        <v>1532</v>
      </c>
      <c r="F82" s="1" t="s">
        <v>1533</v>
      </c>
      <c r="G82" s="1" t="s">
        <v>1207</v>
      </c>
      <c r="H82" s="1">
        <v>1.0</v>
      </c>
      <c r="I82" s="2">
        <v>224.49</v>
      </c>
      <c r="J82" s="15">
        <f t="shared" si="0"/>
        <v>224.49</v>
      </c>
      <c r="K82" s="3">
        <f t="shared" si="1"/>
        <v>0.559000400908727</v>
      </c>
      <c r="L82" s="15">
        <v>99.0</v>
      </c>
    </row>
    <row r="83" ht="17.0">
      <c r="A83" s="1" t="s">
        <v>1312</v>
      </c>
      <c r="B83" s="1" t="s">
        <v>1360</v>
      </c>
      <c r="C83" s="1" t="s">
        <v>1479</v>
      </c>
      <c r="D83" s="1" t="s">
        <v>1480</v>
      </c>
      <c r="E83" s="1" t="s">
        <v>1534</v>
      </c>
      <c r="F83" s="1" t="s">
        <v>1535</v>
      </c>
      <c r="G83" s="1" t="s">
        <v>1207</v>
      </c>
      <c r="H83" s="1">
        <v>1.0</v>
      </c>
      <c r="I83" s="2">
        <v>202.48</v>
      </c>
      <c r="J83" s="15">
        <f t="shared" si="0"/>
        <v>202.48</v>
      </c>
      <c r="K83" s="3">
        <f t="shared" si="1"/>
        <v>0.51106282101936</v>
      </c>
      <c r="L83" s="15">
        <v>99.0</v>
      </c>
    </row>
    <row r="84" ht="17.0">
      <c r="A84" s="1" t="s">
        <v>1312</v>
      </c>
      <c r="B84" s="1" t="s">
        <v>1360</v>
      </c>
      <c r="C84" s="1" t="s">
        <v>1479</v>
      </c>
      <c r="D84" s="1" t="s">
        <v>1480</v>
      </c>
      <c r="E84" s="1" t="s">
        <v>1536</v>
      </c>
      <c r="F84" s="1" t="s">
        <v>1537</v>
      </c>
      <c r="G84" s="1" t="s">
        <v>1207</v>
      </c>
      <c r="H84" s="1">
        <v>1.0</v>
      </c>
      <c r="I84" s="2">
        <v>125.4</v>
      </c>
      <c r="J84" s="15">
        <f t="shared" si="0"/>
        <v>125.4</v>
      </c>
      <c r="K84" s="3">
        <f t="shared" si="1"/>
        <v>0.210526315789474</v>
      </c>
      <c r="L84" s="15">
        <v>99.0</v>
      </c>
    </row>
    <row r="85" ht="17.0">
      <c r="A85" s="1" t="s">
        <v>1312</v>
      </c>
      <c r="B85" s="1" t="s">
        <v>1360</v>
      </c>
      <c r="C85" s="1" t="s">
        <v>1479</v>
      </c>
      <c r="D85" s="1" t="s">
        <v>1480</v>
      </c>
      <c r="E85" s="1" t="s">
        <v>1538</v>
      </c>
      <c r="F85" s="1" t="s">
        <v>1539</v>
      </c>
      <c r="G85" s="1" t="s">
        <v>1207</v>
      </c>
      <c r="H85" s="1">
        <v>1.0</v>
      </c>
      <c r="I85" s="2">
        <v>198.07</v>
      </c>
      <c r="J85" s="15">
        <f t="shared" si="0"/>
        <v>198.07</v>
      </c>
      <c r="K85" s="3">
        <f t="shared" si="1"/>
        <v>0.50017670520522</v>
      </c>
      <c r="L85" s="15">
        <v>99.0</v>
      </c>
    </row>
    <row r="86" ht="17.0">
      <c r="A86" s="1" t="s">
        <v>1312</v>
      </c>
      <c r="B86" s="1" t="s">
        <v>1360</v>
      </c>
      <c r="C86" s="1" t="s">
        <v>1479</v>
      </c>
      <c r="D86" s="1" t="s">
        <v>1480</v>
      </c>
      <c r="E86" s="1" t="s">
        <v>1540</v>
      </c>
      <c r="F86" s="1" t="s">
        <v>1541</v>
      </c>
      <c r="G86" s="1" t="s">
        <v>1207</v>
      </c>
      <c r="H86" s="1">
        <v>1.0</v>
      </c>
      <c r="I86" s="2">
        <v>199.0</v>
      </c>
      <c r="J86" s="15">
        <f t="shared" si="0"/>
        <v>199.0</v>
      </c>
      <c r="K86" s="3">
        <f t="shared" si="1"/>
        <v>0.50251256281407</v>
      </c>
      <c r="L86" s="15">
        <v>99.0</v>
      </c>
    </row>
    <row r="87" ht="17.0">
      <c r="A87" s="1" t="s">
        <v>1312</v>
      </c>
      <c r="B87" s="1" t="s">
        <v>1360</v>
      </c>
      <c r="C87" s="1" t="s">
        <v>1479</v>
      </c>
      <c r="D87" s="1" t="s">
        <v>1480</v>
      </c>
      <c r="E87" s="1" t="s">
        <v>1540</v>
      </c>
      <c r="F87" s="1" t="s">
        <v>1541</v>
      </c>
      <c r="G87" s="1" t="s">
        <v>1207</v>
      </c>
      <c r="H87" s="1">
        <v>1.0</v>
      </c>
      <c r="I87" s="2">
        <v>199.0</v>
      </c>
      <c r="J87" s="15">
        <f t="shared" si="0"/>
        <v>199.0</v>
      </c>
      <c r="K87" s="3">
        <f t="shared" si="1"/>
        <v>0.50251256281407</v>
      </c>
      <c r="L87" s="15">
        <v>99.0</v>
      </c>
    </row>
    <row r="88" ht="17.0">
      <c r="A88" s="1" t="s">
        <v>1312</v>
      </c>
      <c r="B88" s="1" t="s">
        <v>1360</v>
      </c>
      <c r="C88" s="1" t="s">
        <v>1479</v>
      </c>
      <c r="D88" s="1" t="s">
        <v>1480</v>
      </c>
      <c r="E88" s="1" t="s">
        <v>1542</v>
      </c>
      <c r="F88" s="1" t="s">
        <v>1543</v>
      </c>
      <c r="G88" s="1" t="s">
        <v>1207</v>
      </c>
      <c r="H88" s="1">
        <v>1.0</v>
      </c>
      <c r="I88" s="2">
        <v>224.49</v>
      </c>
      <c r="J88" s="15">
        <f t="shared" si="0"/>
        <v>224.49</v>
      </c>
      <c r="K88" s="3">
        <f t="shared" si="1"/>
        <v>0.559000400908727</v>
      </c>
      <c r="L88" s="15">
        <v>99.0</v>
      </c>
    </row>
    <row r="89" ht="17.0">
      <c r="A89" s="1" t="s">
        <v>1312</v>
      </c>
      <c r="B89" s="1" t="s">
        <v>1360</v>
      </c>
      <c r="C89" s="1" t="s">
        <v>1479</v>
      </c>
      <c r="D89" s="1" t="s">
        <v>1480</v>
      </c>
      <c r="E89" s="1" t="s">
        <v>1544</v>
      </c>
      <c r="F89" s="1" t="s">
        <v>1545</v>
      </c>
      <c r="G89" s="1" t="s">
        <v>1207</v>
      </c>
      <c r="H89" s="1">
        <v>1.0</v>
      </c>
      <c r="I89" s="2">
        <v>260.04</v>
      </c>
      <c r="J89" s="15">
        <f t="shared" si="0"/>
        <v>260.04</v>
      </c>
      <c r="K89" s="3">
        <f t="shared" si="1"/>
        <v>0.619289340101522</v>
      </c>
      <c r="L89" s="15">
        <v>99.0</v>
      </c>
    </row>
    <row r="90" ht="17.0">
      <c r="A90" s="1" t="s">
        <v>1312</v>
      </c>
      <c r="B90" s="1" t="s">
        <v>1360</v>
      </c>
      <c r="C90" s="1" t="s">
        <v>1479</v>
      </c>
      <c r="D90" s="1" t="s">
        <v>1480</v>
      </c>
      <c r="E90" s="1" t="s">
        <v>1546</v>
      </c>
      <c r="F90" s="1" t="s">
        <v>1547</v>
      </c>
      <c r="G90" s="1" t="s">
        <v>1207</v>
      </c>
      <c r="H90" s="1">
        <v>1.0</v>
      </c>
      <c r="I90" s="2">
        <v>224.49</v>
      </c>
      <c r="J90" s="15">
        <f t="shared" si="0"/>
        <v>224.49</v>
      </c>
      <c r="K90" s="3">
        <f t="shared" si="1"/>
        <v>0.559000400908727</v>
      </c>
      <c r="L90" s="15">
        <v>99.0</v>
      </c>
    </row>
    <row r="91" ht="17.0">
      <c r="A91" s="1" t="s">
        <v>1312</v>
      </c>
      <c r="B91" s="1" t="s">
        <v>1360</v>
      </c>
      <c r="C91" s="1" t="s">
        <v>1479</v>
      </c>
      <c r="D91" s="1" t="s">
        <v>1480</v>
      </c>
      <c r="E91" s="1" t="s">
        <v>1548</v>
      </c>
      <c r="F91" s="1" t="s">
        <v>1549</v>
      </c>
      <c r="G91" s="1" t="s">
        <v>1207</v>
      </c>
      <c r="H91" s="1">
        <v>1.0</v>
      </c>
      <c r="I91" s="2">
        <v>260.4</v>
      </c>
      <c r="J91" s="15">
        <f t="shared" si="0"/>
        <v>260.4</v>
      </c>
      <c r="K91" s="3">
        <f t="shared" si="1"/>
        <v>0.619815668202765</v>
      </c>
      <c r="L91" s="15">
        <v>99.0</v>
      </c>
    </row>
    <row r="92" ht="17.0">
      <c r="A92" s="1" t="s">
        <v>1312</v>
      </c>
      <c r="B92" s="1" t="s">
        <v>1360</v>
      </c>
      <c r="C92" s="1" t="s">
        <v>1479</v>
      </c>
      <c r="D92" s="1" t="s">
        <v>1480</v>
      </c>
      <c r="E92" s="1" t="s">
        <v>1550</v>
      </c>
      <c r="F92" s="1" t="s">
        <v>1551</v>
      </c>
      <c r="G92" s="1" t="s">
        <v>1207</v>
      </c>
      <c r="H92" s="1">
        <v>1.0</v>
      </c>
      <c r="I92" s="2">
        <v>198.07</v>
      </c>
      <c r="J92" s="15">
        <f t="shared" si="0"/>
        <v>198.07</v>
      </c>
      <c r="K92" s="3">
        <f t="shared" si="1"/>
        <v>0.50017670520522</v>
      </c>
      <c r="L92" s="15">
        <v>99.0</v>
      </c>
    </row>
    <row r="93" customHeight="1" ht="13.0">
      <c r="A93" s="1" t="s">
        <v>1282</v>
      </c>
      <c r="B93" s="1" t="s">
        <v>1360</v>
      </c>
      <c r="C93" s="1" t="s">
        <v>1552</v>
      </c>
      <c r="D93" s="1" t="s">
        <v>1552</v>
      </c>
      <c r="E93" s="1" t="s">
        <v>1553</v>
      </c>
      <c r="F93" s="1" t="s">
        <v>1554</v>
      </c>
      <c r="G93" s="1" t="s">
        <v>1207</v>
      </c>
      <c r="H93" s="1">
        <v>1.0</v>
      </c>
      <c r="I93" s="2">
        <v>11799.0</v>
      </c>
      <c r="J93" s="15">
        <f t="shared" si="0"/>
        <v>11799.0</v>
      </c>
      <c r="K93" s="3">
        <f t="shared" si="1"/>
        <v>0.525468260022036</v>
      </c>
      <c r="L93" s="15">
        <v>5599.0</v>
      </c>
    </row>
    <row r="94" ht="17.0">
      <c r="A94" s="1" t="s">
        <v>1282</v>
      </c>
      <c r="B94" s="1" t="s">
        <v>1360</v>
      </c>
      <c r="C94" s="1" t="s">
        <v>1552</v>
      </c>
      <c r="D94" s="1" t="s">
        <v>1552</v>
      </c>
      <c r="E94" s="1" t="s">
        <v>1555</v>
      </c>
      <c r="F94" s="1" t="s">
        <v>1556</v>
      </c>
      <c r="G94" s="1" t="s">
        <v>1207</v>
      </c>
      <c r="H94" s="1">
        <v>1.0</v>
      </c>
      <c r="I94" s="2">
        <v>10279.0</v>
      </c>
      <c r="J94" s="15">
        <f t="shared" si="0"/>
        <v>10279.0</v>
      </c>
      <c r="K94" s="3">
        <f t="shared" si="1"/>
        <v>0.358011479715924</v>
      </c>
      <c r="L94" s="15">
        <v>6599.0</v>
      </c>
    </row>
    <row r="95" ht="17.0">
      <c r="A95" s="1" t="s">
        <v>1282</v>
      </c>
      <c r="B95" s="1" t="s">
        <v>1360</v>
      </c>
      <c r="C95" s="1" t="s">
        <v>1552</v>
      </c>
      <c r="D95" s="1" t="s">
        <v>1552</v>
      </c>
      <c r="E95" s="1" t="s">
        <v>1557</v>
      </c>
      <c r="F95" s="1" t="s">
        <v>1558</v>
      </c>
      <c r="G95" s="1" t="s">
        <v>1207</v>
      </c>
      <c r="H95" s="1">
        <v>1.0</v>
      </c>
      <c r="I95" s="2">
        <v>7769.0</v>
      </c>
      <c r="J95" s="15">
        <f t="shared" si="0"/>
        <v>7769.0</v>
      </c>
      <c r="K95" s="3">
        <f t="shared" si="1"/>
        <v>0.440211095379071</v>
      </c>
      <c r="L95" s="15">
        <v>4349.0</v>
      </c>
    </row>
    <row r="96" ht="17.0">
      <c r="A96" s="1" t="s">
        <v>369</v>
      </c>
      <c r="B96" s="1" t="s">
        <v>1360</v>
      </c>
      <c r="C96" s="1" t="s">
        <v>1559</v>
      </c>
      <c r="D96" s="1" t="s">
        <v>1559</v>
      </c>
      <c r="E96" s="1" t="s">
        <v>1560</v>
      </c>
      <c r="F96" s="1" t="s">
        <v>1561</v>
      </c>
      <c r="G96" s="1" t="s">
        <v>1207</v>
      </c>
      <c r="H96" s="1">
        <v>1.0</v>
      </c>
      <c r="I96" s="2">
        <v>9738.32</v>
      </c>
      <c r="J96" s="15">
        <f t="shared" si="0"/>
        <v>9738.32</v>
      </c>
      <c r="K96" s="3">
        <f t="shared" si="1"/>
        <v>0.835803300774672</v>
      </c>
      <c r="L96" s="15">
        <v>1599.0</v>
      </c>
    </row>
    <row r="97" ht="17.0">
      <c r="A97" s="1" t="s">
        <v>369</v>
      </c>
      <c r="B97" s="1" t="s">
        <v>1360</v>
      </c>
      <c r="C97" s="1" t="s">
        <v>1559</v>
      </c>
      <c r="D97" s="1" t="s">
        <v>1559</v>
      </c>
      <c r="E97" s="1" t="s">
        <v>1562</v>
      </c>
      <c r="F97" s="1" t="s">
        <v>1563</v>
      </c>
      <c r="G97" s="1" t="s">
        <v>1207</v>
      </c>
      <c r="H97" s="1">
        <v>1.0</v>
      </c>
      <c r="I97" s="2">
        <v>13388.03</v>
      </c>
      <c r="J97" s="15">
        <f t="shared" si="0"/>
        <v>13388.03</v>
      </c>
      <c r="K97" s="3">
        <f t="shared" si="1"/>
        <v>0.880564952423919</v>
      </c>
      <c r="L97" s="15">
        <v>1599.0</v>
      </c>
    </row>
    <row r="98" ht="17.0">
      <c r="A98" s="1" t="s">
        <v>1196</v>
      </c>
      <c r="B98" s="1" t="s">
        <v>1360</v>
      </c>
      <c r="C98" s="1" t="s">
        <v>1233</v>
      </c>
      <c r="D98" s="1" t="s">
        <v>1204</v>
      </c>
      <c r="E98" s="1" t="s">
        <v>1564</v>
      </c>
      <c r="F98" s="1" t="s">
        <v>1565</v>
      </c>
      <c r="G98" s="1" t="s">
        <v>1207</v>
      </c>
      <c r="I98" s="2">
        <v>6546.0</v>
      </c>
      <c r="J98" s="15">
        <v>6546.0</v>
      </c>
      <c r="K98" s="3">
        <f t="shared" si="1"/>
        <v>0.560189428658723</v>
      </c>
      <c r="L98" s="15">
        <v>2879.0</v>
      </c>
    </row>
    <row r="99" ht="17.0">
      <c r="A99" s="1" t="s">
        <v>1196</v>
      </c>
      <c r="B99" s="1" t="s">
        <v>1360</v>
      </c>
      <c r="C99" s="1" t="s">
        <v>1233</v>
      </c>
      <c r="D99" s="1" t="s">
        <v>1204</v>
      </c>
      <c r="E99" s="1">
        <v>5.2808022E7</v>
      </c>
      <c r="F99" s="1" t="s">
        <v>1566</v>
      </c>
      <c r="G99" s="1" t="s">
        <v>1207</v>
      </c>
      <c r="I99" s="2">
        <v>2756.0</v>
      </c>
      <c r="J99" s="15">
        <v>2756.0</v>
      </c>
      <c r="K99" s="3">
        <f t="shared" si="1"/>
        <v>0.445210449927431</v>
      </c>
      <c r="L99" s="15">
        <v>1529.0</v>
      </c>
    </row>
    <row r="100" ht="17.0">
      <c r="A100" s="1" t="s">
        <v>1346</v>
      </c>
      <c r="B100" s="1" t="s">
        <v>1360</v>
      </c>
      <c r="C100" s="1" t="s">
        <v>1347</v>
      </c>
      <c r="D100" s="1" t="s">
        <v>1348</v>
      </c>
      <c r="E100" s="1" t="s">
        <v>1349</v>
      </c>
      <c r="F100" s="1" t="s">
        <v>1350</v>
      </c>
      <c r="G100" s="1" t="s">
        <v>1207</v>
      </c>
      <c r="I100" s="2">
        <v>2459.0</v>
      </c>
      <c r="J100" s="15">
        <v>2459.0</v>
      </c>
      <c r="K100" s="3">
        <f t="shared" si="1"/>
        <v>0.553070353802359</v>
      </c>
      <c r="L100" s="15">
        <v>1099.0</v>
      </c>
    </row>
    <row r="101" ht="17.0">
      <c r="A101" s="1" t="s">
        <v>1346</v>
      </c>
      <c r="B101" s="1" t="s">
        <v>1360</v>
      </c>
      <c r="C101" s="1" t="s">
        <v>1347</v>
      </c>
      <c r="D101" s="1" t="s">
        <v>1348</v>
      </c>
      <c r="E101" s="1" t="s">
        <v>1351</v>
      </c>
      <c r="F101" s="1" t="s">
        <v>1352</v>
      </c>
      <c r="G101" s="1" t="s">
        <v>1207</v>
      </c>
      <c r="I101" s="2">
        <v>2169.0</v>
      </c>
      <c r="J101" s="15">
        <v>2169.0</v>
      </c>
      <c r="K101" s="3">
        <f t="shared" si="1"/>
        <v>0.355002305209774</v>
      </c>
      <c r="L101" s="15">
        <v>1399.0</v>
      </c>
    </row>
    <row r="102" ht="17.0">
      <c r="A102" s="1" t="s">
        <v>1346</v>
      </c>
      <c r="B102" s="1" t="s">
        <v>1360</v>
      </c>
      <c r="C102" s="1" t="s">
        <v>1347</v>
      </c>
      <c r="D102" s="1" t="s">
        <v>1348</v>
      </c>
      <c r="E102" s="1" t="s">
        <v>1353</v>
      </c>
      <c r="F102" s="1" t="s">
        <v>1354</v>
      </c>
      <c r="G102" s="1" t="s">
        <v>1207</v>
      </c>
      <c r="I102" s="2">
        <v>2129.0</v>
      </c>
      <c r="J102" s="15">
        <v>2129.0</v>
      </c>
      <c r="K102" s="3">
        <f t="shared" si="1"/>
        <v>0.201972757162988</v>
      </c>
      <c r="L102" s="15">
        <v>1699.0</v>
      </c>
    </row>
    <row r="103" ht="17.0">
      <c r="A103" s="1" t="s">
        <v>1346</v>
      </c>
      <c r="B103" s="1" t="s">
        <v>1360</v>
      </c>
      <c r="C103" s="1" t="s">
        <v>1347</v>
      </c>
      <c r="D103" s="1" t="s">
        <v>1348</v>
      </c>
      <c r="E103" s="1" t="s">
        <v>1355</v>
      </c>
      <c r="F103" s="1" t="s">
        <v>1356</v>
      </c>
      <c r="G103" s="1" t="s">
        <v>1207</v>
      </c>
      <c r="I103" s="2">
        <v>2699.0</v>
      </c>
      <c r="J103" s="15">
        <v>2699.0</v>
      </c>
      <c r="K103" s="3">
        <f t="shared" si="1"/>
        <v>0.59281215264913</v>
      </c>
      <c r="L103" s="15">
        <v>1099.0</v>
      </c>
    </row>
    <row r="104" ht="17.0" customFormat="1" s="1">
      <c r="A104" s="1" t="s">
        <v>1567</v>
      </c>
      <c r="B104" s="1" t="s">
        <v>1360</v>
      </c>
      <c r="C104" s="1" t="s">
        <v>1568</v>
      </c>
      <c r="D104" s="1" t="s">
        <v>1569</v>
      </c>
      <c r="E104" s="1" t="s">
        <v>1570</v>
      </c>
      <c r="F104" s="1" t="s">
        <v>1571</v>
      </c>
      <c r="G104" s="1" t="s">
        <v>1207</v>
      </c>
      <c r="I104" s="2">
        <v>1109.0</v>
      </c>
      <c r="J104" s="15">
        <v>1109.0</v>
      </c>
      <c r="K104" s="3">
        <f t="shared" si="1"/>
        <v>0.459873760144273</v>
      </c>
      <c r="L104" s="15">
        <v>599.0</v>
      </c>
    </row>
    <row r="105" ht="17.0" customFormat="1" s="1">
      <c r="A105" s="1" t="s">
        <v>1567</v>
      </c>
      <c r="B105" s="1" t="s">
        <v>1360</v>
      </c>
      <c r="C105" s="1" t="s">
        <v>1568</v>
      </c>
      <c r="D105" s="1" t="s">
        <v>1569</v>
      </c>
      <c r="E105" s="1" t="s">
        <v>1572</v>
      </c>
      <c r="F105" s="1" t="s">
        <v>1573</v>
      </c>
      <c r="G105" s="1" t="s">
        <v>1207</v>
      </c>
      <c r="I105" s="2">
        <v>1389.0</v>
      </c>
      <c r="J105" s="15">
        <v>1389.0</v>
      </c>
      <c r="K105" s="3">
        <f t="shared" si="1"/>
        <v>0.532757379409648</v>
      </c>
      <c r="L105" s="15">
        <v>649.0</v>
      </c>
    </row>
    <row r="106" ht="17.0" customFormat="1" s="1">
      <c r="A106" s="1" t="s">
        <v>1567</v>
      </c>
      <c r="B106" s="1" t="s">
        <v>1360</v>
      </c>
      <c r="C106" s="1" t="s">
        <v>1568</v>
      </c>
      <c r="D106" s="1" t="s">
        <v>1569</v>
      </c>
      <c r="E106" s="1" t="s">
        <v>1574</v>
      </c>
      <c r="F106" s="1" t="s">
        <v>1575</v>
      </c>
      <c r="G106" s="1" t="s">
        <v>1207</v>
      </c>
      <c r="I106" s="2">
        <v>2309.0</v>
      </c>
      <c r="J106" s="15">
        <v>2309.0</v>
      </c>
      <c r="K106" s="3">
        <f t="shared" si="1"/>
        <v>0.65396275443916</v>
      </c>
      <c r="L106" s="15">
        <v>799.0</v>
      </c>
    </row>
    <row r="107" ht="17.0" customFormat="1" s="1">
      <c r="A107" s="1" t="s">
        <v>1567</v>
      </c>
      <c r="B107" s="1" t="s">
        <v>1360</v>
      </c>
      <c r="C107" s="1" t="s">
        <v>1568</v>
      </c>
      <c r="D107" s="1" t="s">
        <v>1569</v>
      </c>
      <c r="E107" s="1" t="s">
        <v>1576</v>
      </c>
      <c r="F107" s="1" t="s">
        <v>1577</v>
      </c>
      <c r="G107" s="1" t="s">
        <v>1207</v>
      </c>
      <c r="I107" s="2">
        <v>1939.0</v>
      </c>
      <c r="J107" s="15">
        <v>1939.0</v>
      </c>
      <c r="K107" s="3">
        <f t="shared" si="1"/>
        <v>0.484785972150593</v>
      </c>
      <c r="L107" s="15">
        <v>999.0</v>
      </c>
    </row>
    <row r="108" ht="17.0" customFormat="1" s="1">
      <c r="A108" s="1" t="s">
        <v>1567</v>
      </c>
      <c r="B108" s="1" t="s">
        <v>1360</v>
      </c>
      <c r="C108" s="1" t="s">
        <v>1568</v>
      </c>
      <c r="D108" s="1" t="s">
        <v>1569</v>
      </c>
      <c r="E108" s="1" t="s">
        <v>1578</v>
      </c>
      <c r="F108" s="1" t="s">
        <v>1579</v>
      </c>
      <c r="G108" s="1" t="s">
        <v>1207</v>
      </c>
      <c r="I108" s="2">
        <v>2569.0</v>
      </c>
      <c r="J108" s="15">
        <v>2569.0</v>
      </c>
      <c r="K108" s="3">
        <f t="shared" si="1"/>
        <v>0.54885169326587</v>
      </c>
      <c r="L108" s="15">
        <v>1159.0</v>
      </c>
    </row>
    <row r="109" ht="17.0" customFormat="1" s="1">
      <c r="A109" s="1" t="s">
        <v>1567</v>
      </c>
      <c r="B109" s="1" t="s">
        <v>1360</v>
      </c>
      <c r="C109" s="1" t="s">
        <v>1568</v>
      </c>
      <c r="D109" s="1" t="s">
        <v>1569</v>
      </c>
      <c r="E109" s="1" t="s">
        <v>1580</v>
      </c>
      <c r="F109" s="1" t="s">
        <v>1581</v>
      </c>
      <c r="G109" s="1" t="s">
        <v>1207</v>
      </c>
      <c r="I109" s="2">
        <v>2029.0</v>
      </c>
      <c r="J109" s="15">
        <v>2029.0</v>
      </c>
      <c r="K109" s="3">
        <f t="shared" si="1"/>
        <v>0.507639231148349</v>
      </c>
      <c r="L109" s="15">
        <v>999.0</v>
      </c>
    </row>
    <row r="110" ht="17.0" customFormat="1" s="1">
      <c r="A110" s="1" t="s">
        <v>1567</v>
      </c>
      <c r="B110" s="1" t="s">
        <v>1360</v>
      </c>
      <c r="C110" s="1" t="s">
        <v>1568</v>
      </c>
      <c r="D110" s="1" t="s">
        <v>1569</v>
      </c>
      <c r="E110" s="1" t="s">
        <v>1582</v>
      </c>
      <c r="F110" s="1" t="s">
        <v>1583</v>
      </c>
      <c r="G110" s="1" t="s">
        <v>1207</v>
      </c>
      <c r="I110" s="2">
        <v>2399.0</v>
      </c>
      <c r="J110" s="15">
        <v>2399.0</v>
      </c>
      <c r="K110" s="3">
        <f t="shared" si="1"/>
        <v>0.541892455189662</v>
      </c>
      <c r="L110" s="15">
        <v>1099.0</v>
      </c>
    </row>
    <row r="111" ht="17.0" customFormat="1" s="1">
      <c r="A111" s="1" t="s">
        <v>1567</v>
      </c>
      <c r="B111" s="1" t="s">
        <v>1360</v>
      </c>
      <c r="C111" s="1" t="s">
        <v>1568</v>
      </c>
      <c r="D111" s="1" t="s">
        <v>1569</v>
      </c>
      <c r="E111" s="1" t="s">
        <v>1584</v>
      </c>
      <c r="F111" s="1" t="s">
        <v>1585</v>
      </c>
      <c r="G111" s="1" t="s">
        <v>1207</v>
      </c>
      <c r="I111" s="2">
        <v>2029.0</v>
      </c>
      <c r="J111" s="15">
        <v>2029.0</v>
      </c>
      <c r="K111" s="3">
        <f t="shared" si="1"/>
        <v>0.458353868900937</v>
      </c>
      <c r="L111" s="15">
        <v>1099.0</v>
      </c>
    </row>
    <row r="112" ht="17.0" customFormat="1" s="1">
      <c r="A112" s="1" t="s">
        <v>1567</v>
      </c>
      <c r="B112" s="1" t="s">
        <v>1360</v>
      </c>
      <c r="C112" s="1" t="s">
        <v>1568</v>
      </c>
      <c r="D112" s="1" t="s">
        <v>1569</v>
      </c>
      <c r="E112" s="1" t="s">
        <v>1586</v>
      </c>
      <c r="F112" s="1" t="s">
        <v>1587</v>
      </c>
      <c r="G112" s="1" t="s">
        <v>1207</v>
      </c>
      <c r="I112" s="2">
        <v>2029.0</v>
      </c>
      <c r="J112" s="15">
        <v>2029.0</v>
      </c>
      <c r="K112" s="3">
        <f t="shared" si="1"/>
        <v>0.359783144406111</v>
      </c>
      <c r="L112" s="15">
        <v>1299.0</v>
      </c>
    </row>
    <row r="113" ht="17.0" customFormat="1" s="1">
      <c r="A113" s="1" t="s">
        <v>1567</v>
      </c>
      <c r="B113" s="1" t="s">
        <v>1360</v>
      </c>
      <c r="C113" s="1" t="s">
        <v>1568</v>
      </c>
      <c r="D113" s="1" t="s">
        <v>1588</v>
      </c>
      <c r="E113" s="1" t="s">
        <v>1589</v>
      </c>
      <c r="F113" s="1" t="s">
        <v>1590</v>
      </c>
      <c r="G113" s="1" t="s">
        <v>1207</v>
      </c>
      <c r="I113" s="2">
        <v>4609.0</v>
      </c>
      <c r="J113" s="15">
        <v>4609.0</v>
      </c>
      <c r="K113" s="3">
        <f t="shared" si="1"/>
        <v>0.674766760685616</v>
      </c>
      <c r="L113" s="15">
        <v>1499.0</v>
      </c>
    </row>
    <row r="114" ht="17.0" customFormat="1" s="1">
      <c r="A114" s="1" t="s">
        <v>1567</v>
      </c>
      <c r="B114" s="1" t="s">
        <v>1360</v>
      </c>
      <c r="C114" s="1" t="s">
        <v>1568</v>
      </c>
      <c r="D114" s="1" t="s">
        <v>1588</v>
      </c>
      <c r="E114" s="1" t="s">
        <v>1591</v>
      </c>
      <c r="F114" s="1" t="s">
        <v>1592</v>
      </c>
      <c r="G114" s="1" t="s">
        <v>1207</v>
      </c>
      <c r="I114" s="2">
        <v>2539.0</v>
      </c>
      <c r="J114" s="15">
        <v>2539.0</v>
      </c>
      <c r="K114" s="3">
        <f t="shared" si="1"/>
        <v>0.271760535643953</v>
      </c>
      <c r="L114" s="15">
        <v>1849.0</v>
      </c>
    </row>
    <row r="115" ht="17.0">
      <c r="A115" s="1" t="s">
        <v>1567</v>
      </c>
      <c r="B115" s="1" t="s">
        <v>1360</v>
      </c>
      <c r="C115" s="1" t="s">
        <v>1568</v>
      </c>
      <c r="D115" s="1" t="s">
        <v>1588</v>
      </c>
      <c r="E115" s="1" t="s">
        <v>1593</v>
      </c>
      <c r="F115" s="1" t="s">
        <v>1594</v>
      </c>
      <c r="G115" s="1" t="s">
        <v>1207</v>
      </c>
      <c r="I115" s="2">
        <v>1999.0</v>
      </c>
      <c r="J115" s="15">
        <v>1999.0</v>
      </c>
      <c r="K115" s="3">
        <f t="shared" si="1"/>
        <v>0.500250125062531</v>
      </c>
      <c r="L115" s="15">
        <v>999.0</v>
      </c>
    </row>
    <row r="116" ht="17.0">
      <c r="A116" s="1" t="s">
        <v>1567</v>
      </c>
      <c r="B116" s="1" t="s">
        <v>1360</v>
      </c>
      <c r="C116" s="1" t="s">
        <v>1568</v>
      </c>
      <c r="D116" s="1" t="s">
        <v>1588</v>
      </c>
      <c r="E116" s="1" t="s">
        <v>1595</v>
      </c>
      <c r="F116" s="1" t="s">
        <v>1596</v>
      </c>
      <c r="G116" s="1" t="s">
        <v>1207</v>
      </c>
      <c r="I116" s="2">
        <v>4799.0</v>
      </c>
      <c r="J116" s="15">
        <v>4799.0</v>
      </c>
      <c r="K116" s="3">
        <f t="shared" si="1"/>
        <v>0.687643259012294</v>
      </c>
      <c r="L116" s="15">
        <v>1499.0</v>
      </c>
    </row>
    <row r="117" ht="17.0">
      <c r="A117" s="1" t="s">
        <v>1597</v>
      </c>
      <c r="B117" s="1" t="s">
        <v>1360</v>
      </c>
      <c r="C117" s="1" t="s">
        <v>21</v>
      </c>
      <c r="D117" s="1" t="s">
        <v>46</v>
      </c>
      <c r="E117" s="1" t="s">
        <v>1598</v>
      </c>
      <c r="F117" s="1" t="s">
        <v>1599</v>
      </c>
      <c r="G117" s="1" t="s">
        <v>24</v>
      </c>
      <c r="H117" s="1">
        <v>1.44</v>
      </c>
      <c r="I117" s="2">
        <v>926.0</v>
      </c>
      <c r="J117" s="15">
        <f t="shared" ref="J117:J197" si="2">I117/H117</f>
        <v>643.055555555556</v>
      </c>
      <c r="K117" s="3">
        <f t="shared" si="1"/>
        <v>0.550583153347732</v>
      </c>
      <c r="L117" s="15">
        <v>289.0</v>
      </c>
    </row>
    <row r="118" ht="17.0">
      <c r="A118" s="1" t="s">
        <v>1597</v>
      </c>
      <c r="B118" s="1" t="s">
        <v>1360</v>
      </c>
      <c r="C118" s="1" t="s">
        <v>21</v>
      </c>
      <c r="D118" s="1" t="s">
        <v>46</v>
      </c>
      <c r="E118" s="1" t="s">
        <v>1600</v>
      </c>
      <c r="F118" s="1" t="s">
        <v>1601</v>
      </c>
      <c r="G118" s="1" t="s">
        <v>24</v>
      </c>
      <c r="H118" s="1">
        <v>1.62</v>
      </c>
      <c r="I118" s="2">
        <v>679.0</v>
      </c>
      <c r="J118" s="15">
        <f t="shared" si="2"/>
        <v>419.135802469136</v>
      </c>
      <c r="K118" s="3">
        <f t="shared" si="1"/>
        <v>0.52521354933726</v>
      </c>
      <c r="L118" s="15">
        <v>199.0</v>
      </c>
    </row>
    <row r="119" ht="17.0">
      <c r="A119" s="1" t="s">
        <v>1597</v>
      </c>
      <c r="B119" s="1" t="s">
        <v>1360</v>
      </c>
      <c r="C119" s="1" t="s">
        <v>21</v>
      </c>
      <c r="D119" s="1" t="s">
        <v>46</v>
      </c>
      <c r="E119" s="1" t="s">
        <v>1602</v>
      </c>
      <c r="F119" s="1" t="s">
        <v>1603</v>
      </c>
      <c r="G119" s="1" t="s">
        <v>24</v>
      </c>
      <c r="H119" s="1">
        <v>1.44</v>
      </c>
      <c r="I119" s="2">
        <v>561.0</v>
      </c>
      <c r="J119" s="15">
        <f t="shared" si="2"/>
        <v>389.583333333333</v>
      </c>
      <c r="K119" s="3">
        <f t="shared" si="1"/>
        <v>0.617540106951871</v>
      </c>
      <c r="L119" s="15">
        <v>149.0</v>
      </c>
    </row>
    <row r="120" ht="17.0">
      <c r="A120" s="1" t="s">
        <v>1597</v>
      </c>
      <c r="B120" s="1" t="s">
        <v>1360</v>
      </c>
      <c r="C120" s="1" t="s">
        <v>21</v>
      </c>
      <c r="D120" s="1" t="s">
        <v>46</v>
      </c>
      <c r="E120" s="1" t="s">
        <v>1604</v>
      </c>
      <c r="F120" s="1" t="s">
        <v>1605</v>
      </c>
      <c r="G120" s="1" t="s">
        <v>24</v>
      </c>
      <c r="H120" s="1">
        <v>1.6</v>
      </c>
      <c r="I120" s="2">
        <v>569.0</v>
      </c>
      <c r="J120" s="15">
        <f t="shared" si="2"/>
        <v>355.625</v>
      </c>
      <c r="K120" s="3">
        <f t="shared" si="1"/>
        <v>0.215465729349735</v>
      </c>
      <c r="L120" s="15">
        <v>279.0</v>
      </c>
    </row>
    <row r="121" ht="17.0">
      <c r="A121" s="1" t="s">
        <v>1597</v>
      </c>
      <c r="B121" s="1" t="s">
        <v>1360</v>
      </c>
      <c r="C121" s="1" t="s">
        <v>21</v>
      </c>
      <c r="D121" s="1" t="s">
        <v>46</v>
      </c>
      <c r="E121" s="1" t="s">
        <v>1606</v>
      </c>
      <c r="F121" s="1" t="s">
        <v>1607</v>
      </c>
      <c r="G121" s="1" t="s">
        <v>24</v>
      </c>
      <c r="H121" s="1">
        <v>2.19</v>
      </c>
      <c r="I121" s="2">
        <v>1547.0</v>
      </c>
      <c r="J121" s="15">
        <f t="shared" si="2"/>
        <v>706.392694063927</v>
      </c>
      <c r="K121" s="3">
        <f t="shared" si="1"/>
        <v>0.307750484809309</v>
      </c>
      <c r="L121" s="15">
        <v>489.0</v>
      </c>
    </row>
    <row r="122" ht="17.0">
      <c r="A122" s="1" t="s">
        <v>1597</v>
      </c>
      <c r="B122" s="1" t="s">
        <v>1360</v>
      </c>
      <c r="C122" s="1" t="s">
        <v>21</v>
      </c>
      <c r="D122" s="1" t="s">
        <v>46</v>
      </c>
      <c r="E122" s="1" t="s">
        <v>1608</v>
      </c>
      <c r="F122" s="1" t="s">
        <v>1609</v>
      </c>
      <c r="G122" s="1" t="s">
        <v>24</v>
      </c>
      <c r="H122" s="1">
        <v>1.72</v>
      </c>
      <c r="I122" s="2">
        <v>866.96</v>
      </c>
      <c r="J122" s="15">
        <f t="shared" si="2"/>
        <v>504.046511627907</v>
      </c>
      <c r="K122" s="3">
        <f t="shared" si="1"/>
        <v>0.367121897204023</v>
      </c>
      <c r="L122" s="15">
        <v>319.0</v>
      </c>
    </row>
    <row r="123" ht="17.0">
      <c r="A123" s="1" t="s">
        <v>1597</v>
      </c>
      <c r="B123" s="1" t="s">
        <v>1360</v>
      </c>
      <c r="C123" s="1" t="s">
        <v>21</v>
      </c>
      <c r="D123" s="1" t="s">
        <v>46</v>
      </c>
      <c r="E123" s="1" t="s">
        <v>1610</v>
      </c>
      <c r="F123" s="1" t="s">
        <v>1611</v>
      </c>
      <c r="G123" s="1" t="s">
        <v>24</v>
      </c>
      <c r="H123" s="1">
        <v>1.62</v>
      </c>
      <c r="I123" s="2">
        <v>659.0</v>
      </c>
      <c r="J123" s="15">
        <f t="shared" si="2"/>
        <v>406.79012345679</v>
      </c>
      <c r="K123" s="3">
        <f t="shared" si="1"/>
        <v>0.338725341426403</v>
      </c>
      <c r="L123" s="15">
        <v>269.0</v>
      </c>
    </row>
    <row r="124" ht="17.0">
      <c r="A124" s="1" t="s">
        <v>1597</v>
      </c>
      <c r="B124" s="1" t="s">
        <v>1360</v>
      </c>
      <c r="C124" s="1" t="s">
        <v>21</v>
      </c>
      <c r="D124" s="1" t="s">
        <v>46</v>
      </c>
      <c r="E124" s="1" t="s">
        <v>1612</v>
      </c>
      <c r="F124" s="1" t="s">
        <v>1613</v>
      </c>
      <c r="G124" s="1" t="s">
        <v>24</v>
      </c>
      <c r="H124" s="1">
        <v>1.62</v>
      </c>
      <c r="I124" s="2">
        <v>679.0</v>
      </c>
      <c r="J124" s="15">
        <f t="shared" si="2"/>
        <v>419.135802469136</v>
      </c>
      <c r="K124" s="3">
        <f t="shared" si="1"/>
        <v>0.52521354933726</v>
      </c>
      <c r="L124" s="15">
        <v>199.0</v>
      </c>
    </row>
    <row r="125" ht="17.0">
      <c r="A125" s="1" t="s">
        <v>1597</v>
      </c>
      <c r="B125" s="1" t="s">
        <v>1360</v>
      </c>
      <c r="C125" s="1" t="s">
        <v>21</v>
      </c>
      <c r="D125" s="1" t="s">
        <v>46</v>
      </c>
      <c r="E125" s="1" t="s">
        <v>1614</v>
      </c>
      <c r="F125" s="1" t="s">
        <v>1615</v>
      </c>
      <c r="G125" s="1" t="s">
        <v>24</v>
      </c>
      <c r="H125" s="1">
        <v>1.8</v>
      </c>
      <c r="I125" s="2">
        <v>629.76</v>
      </c>
      <c r="J125" s="15">
        <f t="shared" si="2"/>
        <v>349.866666666667</v>
      </c>
      <c r="K125" s="3">
        <f t="shared" si="1"/>
        <v>0.345464939024391</v>
      </c>
      <c r="L125" s="15">
        <v>229.0</v>
      </c>
    </row>
    <row r="126" ht="17.0">
      <c r="A126" s="1" t="s">
        <v>1597</v>
      </c>
      <c r="B126" s="1" t="s">
        <v>1360</v>
      </c>
      <c r="C126" s="1" t="s">
        <v>21</v>
      </c>
      <c r="D126" s="1" t="s">
        <v>46</v>
      </c>
      <c r="E126" s="1" t="s">
        <v>1616</v>
      </c>
      <c r="F126" s="1" t="s">
        <v>1617</v>
      </c>
      <c r="G126" s="1" t="s">
        <v>24</v>
      </c>
      <c r="H126" s="1">
        <v>1.82</v>
      </c>
      <c r="I126" s="2">
        <v>521.0</v>
      </c>
      <c r="J126" s="15">
        <f t="shared" si="2"/>
        <v>286.263736263736</v>
      </c>
      <c r="K126" s="3">
        <f t="shared" si="1"/>
        <v>0.374702495201535</v>
      </c>
      <c r="L126" s="15">
        <v>179.0</v>
      </c>
    </row>
    <row r="127" ht="17.0">
      <c r="A127" s="1" t="s">
        <v>1597</v>
      </c>
      <c r="B127" s="1" t="s">
        <v>1360</v>
      </c>
      <c r="C127" s="1" t="s">
        <v>21</v>
      </c>
      <c r="D127" s="1" t="s">
        <v>46</v>
      </c>
      <c r="E127" s="1" t="s">
        <v>1618</v>
      </c>
      <c r="F127" s="1" t="s">
        <v>1619</v>
      </c>
      <c r="G127" s="1" t="s">
        <v>24</v>
      </c>
      <c r="H127" s="1">
        <v>1.6</v>
      </c>
      <c r="I127" s="2">
        <v>559.0</v>
      </c>
      <c r="J127" s="15">
        <f t="shared" si="2"/>
        <v>349.375</v>
      </c>
      <c r="K127" s="3">
        <f t="shared" si="1"/>
        <v>0.201431127012521</v>
      </c>
      <c r="L127" s="15">
        <v>279.0</v>
      </c>
    </row>
    <row r="128" ht="17.0">
      <c r="A128" s="1" t="s">
        <v>1597</v>
      </c>
      <c r="B128" s="1" t="s">
        <v>1360</v>
      </c>
      <c r="C128" s="1" t="s">
        <v>21</v>
      </c>
      <c r="D128" s="1" t="s">
        <v>46</v>
      </c>
      <c r="E128" s="1" t="s">
        <v>1620</v>
      </c>
      <c r="F128" s="1" t="s">
        <v>1621</v>
      </c>
      <c r="G128" s="1" t="s">
        <v>24</v>
      </c>
      <c r="H128" s="1">
        <v>1.16</v>
      </c>
      <c r="I128" s="2">
        <v>809.0</v>
      </c>
      <c r="J128" s="15">
        <f t="shared" si="2"/>
        <v>697.413793103448</v>
      </c>
      <c r="K128" s="3">
        <f t="shared" si="1"/>
        <v>0.356192830655128</v>
      </c>
      <c r="L128" s="15">
        <v>449.0</v>
      </c>
    </row>
    <row r="129" ht="17.0">
      <c r="A129" s="1" t="s">
        <v>1597</v>
      </c>
      <c r="B129" s="1" t="s">
        <v>1360</v>
      </c>
      <c r="C129" s="1" t="s">
        <v>21</v>
      </c>
      <c r="D129" s="1" t="s">
        <v>46</v>
      </c>
      <c r="E129" s="1" t="s">
        <v>1622</v>
      </c>
      <c r="F129" s="1" t="s">
        <v>1623</v>
      </c>
      <c r="G129" s="1" t="s">
        <v>24</v>
      </c>
      <c r="H129" s="1">
        <v>1.81</v>
      </c>
      <c r="I129" s="2">
        <v>649.0</v>
      </c>
      <c r="J129" s="15">
        <f t="shared" si="2"/>
        <v>358.563535911602</v>
      </c>
      <c r="K129" s="3">
        <f t="shared" si="1"/>
        <v>0.277673343605545</v>
      </c>
      <c r="L129" s="15">
        <v>259.0</v>
      </c>
    </row>
    <row r="130" ht="17.0">
      <c r="A130" s="1" t="s">
        <v>1597</v>
      </c>
      <c r="B130" s="1" t="s">
        <v>1360</v>
      </c>
      <c r="C130" s="1" t="s">
        <v>21</v>
      </c>
      <c r="D130" s="1" t="s">
        <v>46</v>
      </c>
      <c r="E130" s="1" t="s">
        <v>1624</v>
      </c>
      <c r="F130" s="1" t="s">
        <v>1625</v>
      </c>
      <c r="G130" s="1" t="s">
        <v>24</v>
      </c>
      <c r="H130" s="1">
        <v>1.81</v>
      </c>
      <c r="I130" s="2">
        <v>649.0</v>
      </c>
      <c r="J130" s="15">
        <f t="shared" si="2"/>
        <v>358.563535911602</v>
      </c>
      <c r="K130" s="3">
        <f t="shared" si="1"/>
        <v>0.277673343605545</v>
      </c>
      <c r="L130" s="15">
        <v>259.0</v>
      </c>
    </row>
    <row r="131" ht="17.0">
      <c r="A131" s="1" t="s">
        <v>1597</v>
      </c>
      <c r="B131" s="1" t="s">
        <v>1360</v>
      </c>
      <c r="C131" s="1" t="s">
        <v>21</v>
      </c>
      <c r="D131" s="1" t="s">
        <v>46</v>
      </c>
      <c r="E131" s="1" t="s">
        <v>1626</v>
      </c>
      <c r="F131" s="1" t="s">
        <v>1627</v>
      </c>
      <c r="G131" s="1" t="s">
        <v>24</v>
      </c>
      <c r="H131" s="1">
        <v>1.2</v>
      </c>
      <c r="I131" s="2">
        <v>490.0</v>
      </c>
      <c r="J131" s="15">
        <f t="shared" si="2"/>
        <v>408.333333333333</v>
      </c>
      <c r="K131" s="3">
        <f t="shared" si="1"/>
        <v>0.365714285714286</v>
      </c>
      <c r="L131" s="15">
        <v>259.0</v>
      </c>
    </row>
    <row r="132" ht="17.0">
      <c r="A132" s="1" t="s">
        <v>1597</v>
      </c>
      <c r="B132" s="1" t="s">
        <v>1360</v>
      </c>
      <c r="C132" s="1" t="s">
        <v>21</v>
      </c>
      <c r="D132" s="1" t="s">
        <v>46</v>
      </c>
      <c r="E132" s="1" t="s">
        <v>1628</v>
      </c>
      <c r="F132" s="1" t="s">
        <v>1629</v>
      </c>
      <c r="G132" s="1" t="s">
        <v>24</v>
      </c>
      <c r="H132" s="1">
        <v>1.37</v>
      </c>
      <c r="I132" s="2">
        <v>899.0</v>
      </c>
      <c r="J132" s="15">
        <f t="shared" si="2"/>
        <v>656.204379562043</v>
      </c>
      <c r="K132" s="3">
        <f t="shared" si="1"/>
        <v>0.31576195773081</v>
      </c>
      <c r="L132" s="15">
        <v>449.0</v>
      </c>
    </row>
    <row r="133" ht="17.0">
      <c r="A133" s="1" t="s">
        <v>1597</v>
      </c>
      <c r="B133" s="1" t="s">
        <v>1360</v>
      </c>
      <c r="C133" s="1" t="s">
        <v>21</v>
      </c>
      <c r="D133" s="1" t="s">
        <v>46</v>
      </c>
      <c r="E133" s="1" t="s">
        <v>1630</v>
      </c>
      <c r="F133" s="1" t="s">
        <v>1631</v>
      </c>
      <c r="G133" s="1" t="s">
        <v>24</v>
      </c>
      <c r="H133" s="1">
        <v>1.36</v>
      </c>
      <c r="I133" s="2">
        <v>479.0</v>
      </c>
      <c r="J133" s="15">
        <f t="shared" si="2"/>
        <v>352.205882352941</v>
      </c>
      <c r="K133" s="3">
        <f t="shared" si="1"/>
        <v>0.349812108559497</v>
      </c>
      <c r="L133" s="15">
        <v>229.0</v>
      </c>
    </row>
    <row r="134" ht="17.0">
      <c r="A134" s="1" t="s">
        <v>1597</v>
      </c>
      <c r="B134" s="1" t="s">
        <v>1360</v>
      </c>
      <c r="C134" s="1" t="s">
        <v>21</v>
      </c>
      <c r="D134" s="1" t="s">
        <v>46</v>
      </c>
      <c r="E134" s="1" t="s">
        <v>1632</v>
      </c>
      <c r="F134" s="1" t="s">
        <v>1633</v>
      </c>
      <c r="G134" s="1" t="s">
        <v>24</v>
      </c>
      <c r="H134" s="1">
        <v>1.6</v>
      </c>
      <c r="I134" s="2">
        <v>569.0</v>
      </c>
      <c r="J134" s="15">
        <f t="shared" si="2"/>
        <v>355.625</v>
      </c>
      <c r="K134" s="3">
        <f t="shared" si="1"/>
        <v>0.356063268892794</v>
      </c>
      <c r="L134" s="15">
        <v>229.0</v>
      </c>
    </row>
    <row r="135" ht="17.0">
      <c r="A135" s="1" t="s">
        <v>1597</v>
      </c>
      <c r="B135" s="1" t="s">
        <v>1360</v>
      </c>
      <c r="C135" s="1" t="s">
        <v>21</v>
      </c>
      <c r="D135" s="1" t="s">
        <v>46</v>
      </c>
      <c r="E135" s="1" t="s">
        <v>1634</v>
      </c>
      <c r="F135" s="1" t="s">
        <v>1635</v>
      </c>
      <c r="G135" s="1" t="s">
        <v>24</v>
      </c>
      <c r="H135" s="1">
        <v>1.26</v>
      </c>
      <c r="I135" s="2">
        <v>536.06</v>
      </c>
      <c r="J135" s="15">
        <f t="shared" si="2"/>
        <v>425.444444444444</v>
      </c>
      <c r="K135" s="3">
        <f t="shared" si="1"/>
        <v>0.391224862888482</v>
      </c>
      <c r="L135" s="15">
        <v>259.0</v>
      </c>
    </row>
    <row r="136" ht="17.0">
      <c r="A136" s="1" t="s">
        <v>1597</v>
      </c>
      <c r="B136" s="1" t="s">
        <v>1360</v>
      </c>
      <c r="C136" s="1" t="s">
        <v>21</v>
      </c>
      <c r="D136" s="1" t="s">
        <v>46</v>
      </c>
      <c r="E136" s="1" t="s">
        <v>1636</v>
      </c>
      <c r="F136" s="1" t="s">
        <v>1637</v>
      </c>
      <c r="G136" s="1" t="s">
        <v>24</v>
      </c>
      <c r="H136" s="1">
        <v>1.45</v>
      </c>
      <c r="I136" s="2">
        <v>499.0</v>
      </c>
      <c r="J136" s="15">
        <f t="shared" si="2"/>
        <v>344.137931034482</v>
      </c>
      <c r="K136" s="3">
        <f t="shared" si="1"/>
        <v>0.363627254509017</v>
      </c>
      <c r="L136" s="15">
        <v>219.0</v>
      </c>
    </row>
    <row r="137" ht="17.0">
      <c r="A137" s="1" t="s">
        <v>1597</v>
      </c>
      <c r="B137" s="1" t="s">
        <v>1360</v>
      </c>
      <c r="C137" s="1" t="s">
        <v>21</v>
      </c>
      <c r="D137" s="1" t="s">
        <v>46</v>
      </c>
      <c r="E137" s="1" t="s">
        <v>1638</v>
      </c>
      <c r="F137" s="1" t="s">
        <v>1639</v>
      </c>
      <c r="G137" s="1" t="s">
        <v>24</v>
      </c>
      <c r="H137" s="1">
        <v>1.6</v>
      </c>
      <c r="I137" s="2">
        <v>559.0</v>
      </c>
      <c r="J137" s="15">
        <f t="shared" si="2"/>
        <v>349.375</v>
      </c>
      <c r="K137" s="3">
        <f t="shared" si="1"/>
        <v>0.23005366726297</v>
      </c>
      <c r="L137" s="15">
        <v>269.0</v>
      </c>
    </row>
    <row r="138" ht="17.0">
      <c r="A138" s="1" t="s">
        <v>1597</v>
      </c>
      <c r="B138" s="1" t="s">
        <v>1360</v>
      </c>
      <c r="C138" s="1" t="s">
        <v>21</v>
      </c>
      <c r="D138" s="1" t="s">
        <v>46</v>
      </c>
      <c r="E138" s="1" t="s">
        <v>1640</v>
      </c>
      <c r="F138" s="1" t="s">
        <v>1641</v>
      </c>
      <c r="G138" s="1" t="s">
        <v>24</v>
      </c>
      <c r="H138" s="1">
        <v>1.28</v>
      </c>
      <c r="I138" s="2">
        <v>1099.0</v>
      </c>
      <c r="J138" s="15">
        <f t="shared" si="2"/>
        <v>858.59375</v>
      </c>
      <c r="K138" s="3">
        <f t="shared" si="1"/>
        <v>0.302347588717014</v>
      </c>
      <c r="L138" s="15">
        <v>599.0</v>
      </c>
    </row>
    <row r="139" ht="17.0">
      <c r="A139" s="1" t="s">
        <v>1597</v>
      </c>
      <c r="B139" s="1" t="s">
        <v>1360</v>
      </c>
      <c r="C139" s="1" t="s">
        <v>21</v>
      </c>
      <c r="D139" s="1" t="s">
        <v>46</v>
      </c>
      <c r="E139" s="1" t="s">
        <v>1642</v>
      </c>
      <c r="F139" s="1" t="s">
        <v>1643</v>
      </c>
      <c r="G139" s="1" t="s">
        <v>24</v>
      </c>
      <c r="H139" s="1">
        <v>1.16</v>
      </c>
      <c r="I139" s="2">
        <v>809.0</v>
      </c>
      <c r="J139" s="15">
        <f t="shared" si="2"/>
        <v>697.413793103448</v>
      </c>
      <c r="K139" s="3">
        <f t="shared" si="1"/>
        <v>0.356192830655128</v>
      </c>
      <c r="L139" s="15">
        <v>449.0</v>
      </c>
    </row>
    <row r="140" ht="17.0">
      <c r="A140" s="1" t="s">
        <v>1597</v>
      </c>
      <c r="B140" s="1" t="s">
        <v>1360</v>
      </c>
      <c r="C140" s="1" t="s">
        <v>21</v>
      </c>
      <c r="D140" s="1" t="s">
        <v>46</v>
      </c>
      <c r="E140" s="1" t="s">
        <v>1644</v>
      </c>
      <c r="F140" s="1" t="s">
        <v>1645</v>
      </c>
      <c r="G140" s="1" t="s">
        <v>24</v>
      </c>
      <c r="H140" s="1">
        <v>1.63</v>
      </c>
      <c r="I140" s="2">
        <v>469.0</v>
      </c>
      <c r="J140" s="15">
        <f t="shared" si="2"/>
        <v>287.730061349693</v>
      </c>
      <c r="K140" s="3">
        <f t="shared" si="1"/>
        <v>0.27362473347548</v>
      </c>
      <c r="L140" s="15">
        <v>209.0</v>
      </c>
    </row>
    <row r="141" ht="17.0">
      <c r="A141" s="1" t="s">
        <v>1597</v>
      </c>
      <c r="B141" s="1" t="s">
        <v>1360</v>
      </c>
      <c r="C141" s="1" t="s">
        <v>21</v>
      </c>
      <c r="D141" s="1" t="s">
        <v>46</v>
      </c>
      <c r="E141" s="1" t="s">
        <v>1644</v>
      </c>
      <c r="F141" s="1" t="s">
        <v>1645</v>
      </c>
      <c r="G141" s="1" t="s">
        <v>24</v>
      </c>
      <c r="H141" s="1">
        <v>1.63</v>
      </c>
      <c r="I141" s="2">
        <v>469.0</v>
      </c>
      <c r="J141" s="15">
        <f t="shared" si="2"/>
        <v>287.730061349693</v>
      </c>
      <c r="K141" s="3">
        <f t="shared" si="1"/>
        <v>0.27362473347548</v>
      </c>
      <c r="L141" s="15">
        <v>209.0</v>
      </c>
    </row>
    <row r="142" ht="17.0">
      <c r="A142" s="1" t="s">
        <v>1597</v>
      </c>
      <c r="B142" s="1" t="s">
        <v>1360</v>
      </c>
      <c r="C142" s="1" t="s">
        <v>21</v>
      </c>
      <c r="D142" s="1" t="s">
        <v>46</v>
      </c>
      <c r="E142" s="1" t="s">
        <v>1646</v>
      </c>
      <c r="F142" s="1" t="s">
        <v>1647</v>
      </c>
      <c r="G142" s="1" t="s">
        <v>24</v>
      </c>
      <c r="H142" s="1">
        <v>1.6</v>
      </c>
      <c r="I142" s="2">
        <v>569.0</v>
      </c>
      <c r="J142" s="15">
        <f t="shared" si="2"/>
        <v>355.625</v>
      </c>
      <c r="K142" s="3">
        <f t="shared" si="1"/>
        <v>0.243585237258348</v>
      </c>
      <c r="L142" s="15">
        <v>269.0</v>
      </c>
    </row>
    <row r="143" ht="17.0">
      <c r="A143" s="1" t="s">
        <v>1597</v>
      </c>
      <c r="B143" s="1" t="s">
        <v>1360</v>
      </c>
      <c r="C143" s="1" t="s">
        <v>21</v>
      </c>
      <c r="D143" s="1" t="s">
        <v>46</v>
      </c>
      <c r="E143" s="1" t="s">
        <v>1648</v>
      </c>
      <c r="F143" s="1" t="s">
        <v>1649</v>
      </c>
      <c r="G143" s="1" t="s">
        <v>24</v>
      </c>
      <c r="H143" s="1">
        <v>2.11</v>
      </c>
      <c r="I143" s="2">
        <v>479.0</v>
      </c>
      <c r="J143" s="15">
        <f t="shared" si="2"/>
        <v>227.01421800948</v>
      </c>
      <c r="K143" s="3">
        <f t="shared" si="1"/>
        <v>0.211503131524013</v>
      </c>
      <c r="L143" s="15">
        <v>179.0</v>
      </c>
    </row>
    <row r="144" ht="17.0">
      <c r="A144" s="1" t="s">
        <v>1597</v>
      </c>
      <c r="B144" s="1" t="s">
        <v>1360</v>
      </c>
      <c r="C144" s="1" t="s">
        <v>21</v>
      </c>
      <c r="D144" s="1" t="s">
        <v>46</v>
      </c>
      <c r="E144" s="1" t="s">
        <v>1650</v>
      </c>
      <c r="F144" s="1" t="s">
        <v>1651</v>
      </c>
      <c r="G144" s="1" t="s">
        <v>24</v>
      </c>
      <c r="H144" s="1">
        <v>1.83</v>
      </c>
      <c r="I144" s="2">
        <v>609.0</v>
      </c>
      <c r="J144" s="15">
        <f t="shared" si="2"/>
        <v>332.786885245901</v>
      </c>
      <c r="K144" s="3">
        <f t="shared" si="1"/>
        <v>0.552266009852216</v>
      </c>
      <c r="L144" s="15">
        <v>149.0</v>
      </c>
    </row>
    <row r="145" ht="17.0">
      <c r="A145" s="1" t="s">
        <v>1597</v>
      </c>
      <c r="B145" s="1" t="s">
        <v>1360</v>
      </c>
      <c r="C145" s="1" t="s">
        <v>21</v>
      </c>
      <c r="D145" s="1" t="s">
        <v>46</v>
      </c>
      <c r="E145" s="1" t="s">
        <v>1652</v>
      </c>
      <c r="F145" s="1" t="s">
        <v>1653</v>
      </c>
      <c r="G145" s="1" t="s">
        <v>24</v>
      </c>
      <c r="H145" s="1">
        <v>1.44</v>
      </c>
      <c r="I145" s="2">
        <v>669.0</v>
      </c>
      <c r="J145" s="15">
        <f t="shared" si="2"/>
        <v>464.583333333333</v>
      </c>
      <c r="K145" s="3">
        <f t="shared" si="1"/>
        <v>0.334887892376681</v>
      </c>
      <c r="L145" s="15">
        <v>309.0</v>
      </c>
    </row>
    <row r="146" ht="17.0">
      <c r="A146" s="1" t="s">
        <v>1597</v>
      </c>
      <c r="B146" s="1" t="s">
        <v>1360</v>
      </c>
      <c r="C146" s="1" t="s">
        <v>21</v>
      </c>
      <c r="D146" s="1" t="s">
        <v>46</v>
      </c>
      <c r="E146" s="1" t="s">
        <v>1654</v>
      </c>
      <c r="F146" s="1" t="s">
        <v>1655</v>
      </c>
      <c r="G146" s="1" t="s">
        <v>24</v>
      </c>
      <c r="H146" s="1">
        <v>1.08</v>
      </c>
      <c r="I146" s="2">
        <v>239.0</v>
      </c>
      <c r="J146" s="15">
        <f t="shared" si="2"/>
        <v>221.296296296296</v>
      </c>
      <c r="K146" s="3">
        <f t="shared" si="1"/>
        <v>0.236317991631799</v>
      </c>
      <c r="L146" s="15">
        <v>169.0</v>
      </c>
    </row>
    <row r="147" ht="17.0">
      <c r="A147" s="1" t="s">
        <v>1597</v>
      </c>
      <c r="B147" s="1" t="s">
        <v>1360</v>
      </c>
      <c r="C147" s="1" t="s">
        <v>21</v>
      </c>
      <c r="D147" s="1" t="s">
        <v>46</v>
      </c>
      <c r="E147" s="1" t="s">
        <v>1656</v>
      </c>
      <c r="F147" s="1" t="s">
        <v>1657</v>
      </c>
      <c r="G147" s="1" t="s">
        <v>24</v>
      </c>
      <c r="H147" s="1">
        <v>1.8</v>
      </c>
      <c r="I147" s="2">
        <v>743.0</v>
      </c>
      <c r="J147" s="15">
        <f t="shared" si="2"/>
        <v>412.777777777778</v>
      </c>
      <c r="K147" s="3">
        <f t="shared" si="1"/>
        <v>0.420995962314938</v>
      </c>
      <c r="L147" s="15">
        <v>239.0</v>
      </c>
    </row>
    <row r="148" ht="17.0">
      <c r="A148" s="1" t="s">
        <v>1597</v>
      </c>
      <c r="B148" s="1" t="s">
        <v>1360</v>
      </c>
      <c r="C148" s="1" t="s">
        <v>21</v>
      </c>
      <c r="D148" s="1" t="s">
        <v>46</v>
      </c>
      <c r="E148" s="1" t="s">
        <v>1658</v>
      </c>
      <c r="F148" s="1" t="s">
        <v>1659</v>
      </c>
      <c r="G148" s="1" t="s">
        <v>24</v>
      </c>
      <c r="H148" s="1">
        <v>1.6</v>
      </c>
      <c r="I148" s="2">
        <v>559.0</v>
      </c>
      <c r="J148" s="15">
        <f t="shared" si="2"/>
        <v>349.375</v>
      </c>
      <c r="K148" s="3">
        <f t="shared" si="1"/>
        <v>0.201431127012521</v>
      </c>
      <c r="L148" s="15">
        <v>279.0</v>
      </c>
    </row>
    <row r="149" ht="17.0">
      <c r="A149" s="1" t="s">
        <v>1597</v>
      </c>
      <c r="B149" s="1" t="s">
        <v>1360</v>
      </c>
      <c r="C149" s="1" t="s">
        <v>21</v>
      </c>
      <c r="D149" s="1" t="s">
        <v>46</v>
      </c>
      <c r="E149" s="1" t="s">
        <v>1660</v>
      </c>
      <c r="F149" s="1" t="s">
        <v>1661</v>
      </c>
      <c r="G149" s="1" t="s">
        <v>24</v>
      </c>
      <c r="H149" s="1">
        <v>2.56</v>
      </c>
      <c r="I149" s="2">
        <v>2189.0</v>
      </c>
      <c r="J149" s="15">
        <f t="shared" si="2"/>
        <v>855.078125</v>
      </c>
      <c r="K149" s="3">
        <f t="shared" si="1"/>
        <v>0.299479214253083</v>
      </c>
      <c r="L149" s="15">
        <v>599.0</v>
      </c>
    </row>
    <row r="150" ht="17.0">
      <c r="A150" s="1" t="s">
        <v>1597</v>
      </c>
      <c r="B150" s="1" t="s">
        <v>1360</v>
      </c>
      <c r="C150" s="1" t="s">
        <v>21</v>
      </c>
      <c r="D150" s="1" t="s">
        <v>46</v>
      </c>
      <c r="E150" s="1" t="s">
        <v>1662</v>
      </c>
      <c r="F150" s="1" t="s">
        <v>1663</v>
      </c>
      <c r="G150" s="1" t="s">
        <v>24</v>
      </c>
      <c r="H150" s="1">
        <v>1.2</v>
      </c>
      <c r="I150" s="2">
        <v>399.0</v>
      </c>
      <c r="J150" s="15">
        <f t="shared" si="2"/>
        <v>332.5</v>
      </c>
      <c r="K150" s="3">
        <f t="shared" si="1"/>
        <v>0.311278195488722</v>
      </c>
      <c r="L150" s="15">
        <v>229.0</v>
      </c>
    </row>
    <row r="151" ht="17.0">
      <c r="A151" s="1" t="s">
        <v>1597</v>
      </c>
      <c r="B151" s="1" t="s">
        <v>1360</v>
      </c>
      <c r="C151" s="1" t="s">
        <v>21</v>
      </c>
      <c r="D151" s="1" t="s">
        <v>46</v>
      </c>
      <c r="E151" s="1" t="s">
        <v>1664</v>
      </c>
      <c r="F151" s="1" t="s">
        <v>1665</v>
      </c>
      <c r="G151" s="1" t="s">
        <v>24</v>
      </c>
      <c r="H151" s="1">
        <v>1.44</v>
      </c>
      <c r="I151" s="2">
        <v>869.0</v>
      </c>
      <c r="J151" s="15">
        <f t="shared" si="2"/>
        <v>603.472222222222</v>
      </c>
      <c r="K151" s="3">
        <f t="shared" si="1"/>
        <v>0.173118527042578</v>
      </c>
      <c r="L151" s="15">
        <v>499.0</v>
      </c>
    </row>
    <row r="152" ht="17.0">
      <c r="A152" s="1" t="s">
        <v>1597</v>
      </c>
      <c r="B152" s="1" t="s">
        <v>1360</v>
      </c>
      <c r="C152" s="1" t="s">
        <v>21</v>
      </c>
      <c r="D152" s="1" t="s">
        <v>46</v>
      </c>
      <c r="E152" s="1" t="s">
        <v>1666</v>
      </c>
      <c r="F152" s="1" t="s">
        <v>1667</v>
      </c>
      <c r="G152" s="1" t="s">
        <v>24</v>
      </c>
      <c r="H152" s="1">
        <v>2.11</v>
      </c>
      <c r="I152" s="2">
        <v>386.0</v>
      </c>
      <c r="J152" s="15">
        <f t="shared" si="2"/>
        <v>182.938388625592</v>
      </c>
      <c r="K152" s="3">
        <f t="shared" si="1"/>
        <v>0.349507772020724</v>
      </c>
      <c r="L152" s="15">
        <v>119.0</v>
      </c>
    </row>
    <row r="153" ht="17.0">
      <c r="A153" s="1" t="s">
        <v>1597</v>
      </c>
      <c r="B153" s="1" t="s">
        <v>1360</v>
      </c>
      <c r="C153" s="1" t="s">
        <v>21</v>
      </c>
      <c r="D153" s="1" t="s">
        <v>46</v>
      </c>
      <c r="E153" s="1" t="s">
        <v>1668</v>
      </c>
      <c r="F153" s="1" t="s">
        <v>1669</v>
      </c>
      <c r="G153" s="1" t="s">
        <v>24</v>
      </c>
      <c r="H153" s="1">
        <v>1.63</v>
      </c>
      <c r="I153" s="2">
        <v>485.0</v>
      </c>
      <c r="J153" s="15">
        <f t="shared" si="2"/>
        <v>297.546012269939</v>
      </c>
      <c r="K153" s="3">
        <f t="shared" si="1"/>
        <v>0.432020618556702</v>
      </c>
      <c r="L153" s="15">
        <v>169.0</v>
      </c>
    </row>
    <row r="154" ht="17.0">
      <c r="A154" s="1" t="s">
        <v>1597</v>
      </c>
      <c r="B154" s="1" t="s">
        <v>1360</v>
      </c>
      <c r="C154" s="1" t="s">
        <v>21</v>
      </c>
      <c r="D154" s="1" t="s">
        <v>46</v>
      </c>
      <c r="E154" s="1" t="s">
        <v>1670</v>
      </c>
      <c r="F154" s="1" t="s">
        <v>1671</v>
      </c>
      <c r="G154" s="1" t="s">
        <v>24</v>
      </c>
      <c r="H154" s="1">
        <v>1.45</v>
      </c>
      <c r="I154" s="2">
        <v>499.0</v>
      </c>
      <c r="J154" s="15">
        <f t="shared" si="2"/>
        <v>344.137931034482</v>
      </c>
      <c r="K154" s="3">
        <f t="shared" si="1"/>
        <v>0.363627254509017</v>
      </c>
      <c r="L154" s="15">
        <v>219.0</v>
      </c>
    </row>
    <row r="155" ht="17.0">
      <c r="A155" s="1" t="s">
        <v>1597</v>
      </c>
      <c r="B155" s="1" t="s">
        <v>1360</v>
      </c>
      <c r="C155" s="1" t="s">
        <v>21</v>
      </c>
      <c r="D155" s="1" t="s">
        <v>46</v>
      </c>
      <c r="E155" s="1" t="s">
        <v>1672</v>
      </c>
      <c r="F155" s="1" t="s">
        <v>1673</v>
      </c>
      <c r="G155" s="1" t="s">
        <v>24</v>
      </c>
      <c r="H155" s="1">
        <v>1.2</v>
      </c>
      <c r="I155" s="2">
        <v>490.0</v>
      </c>
      <c r="J155" s="15">
        <f t="shared" si="2"/>
        <v>408.333333333333</v>
      </c>
      <c r="K155" s="3">
        <f t="shared" si="1"/>
        <v>0.365714285714286</v>
      </c>
      <c r="L155" s="15">
        <v>259.0</v>
      </c>
    </row>
    <row r="156" ht="17.0">
      <c r="A156" s="1" t="s">
        <v>1597</v>
      </c>
      <c r="B156" s="1" t="s">
        <v>1360</v>
      </c>
      <c r="C156" s="1" t="s">
        <v>21</v>
      </c>
      <c r="D156" s="1" t="s">
        <v>46</v>
      </c>
      <c r="E156" s="1" t="s">
        <v>1674</v>
      </c>
      <c r="F156" s="1" t="s">
        <v>1675</v>
      </c>
      <c r="G156" s="1" t="s">
        <v>24</v>
      </c>
      <c r="H156" s="1">
        <v>1.37</v>
      </c>
      <c r="I156" s="2">
        <v>1180.0</v>
      </c>
      <c r="J156" s="15">
        <f t="shared" si="2"/>
        <v>861.313868613139</v>
      </c>
      <c r="K156" s="3">
        <f t="shared" si="1"/>
        <v>0.513533898305085</v>
      </c>
      <c r="L156" s="15">
        <v>419.0</v>
      </c>
    </row>
    <row r="157" ht="17.0">
      <c r="A157" s="1" t="s">
        <v>1597</v>
      </c>
      <c r="B157" s="1" t="s">
        <v>1360</v>
      </c>
      <c r="C157" s="1" t="s">
        <v>21</v>
      </c>
      <c r="D157" s="1" t="s">
        <v>46</v>
      </c>
      <c r="E157" s="1" t="s">
        <v>1676</v>
      </c>
      <c r="F157" s="1" t="s">
        <v>1677</v>
      </c>
      <c r="G157" s="1" t="s">
        <v>24</v>
      </c>
      <c r="H157" s="1">
        <v>1.28</v>
      </c>
      <c r="I157" s="2">
        <v>1099.0</v>
      </c>
      <c r="J157" s="15">
        <f t="shared" si="2"/>
        <v>858.59375</v>
      </c>
      <c r="K157" s="3">
        <f t="shared" si="1"/>
        <v>0.302347588717014</v>
      </c>
      <c r="L157" s="15">
        <v>599.0</v>
      </c>
    </row>
    <row r="158" ht="17.0">
      <c r="A158" s="1" t="s">
        <v>1597</v>
      </c>
      <c r="B158" s="1" t="s">
        <v>1360</v>
      </c>
      <c r="C158" s="1" t="s">
        <v>21</v>
      </c>
      <c r="D158" s="1" t="s">
        <v>46</v>
      </c>
      <c r="E158" s="1" t="s">
        <v>1678</v>
      </c>
      <c r="F158" s="1" t="s">
        <v>1679</v>
      </c>
      <c r="G158" s="1" t="s">
        <v>24</v>
      </c>
      <c r="H158" s="1">
        <v>1.08</v>
      </c>
      <c r="I158" s="2">
        <v>249.0</v>
      </c>
      <c r="J158" s="15">
        <f t="shared" si="2"/>
        <v>230.555555555556</v>
      </c>
      <c r="K158" s="3">
        <f t="shared" si="1"/>
        <v>0.26698795180723</v>
      </c>
      <c r="L158" s="15">
        <v>169.0</v>
      </c>
    </row>
    <row r="159" ht="17.0">
      <c r="A159" s="1" t="s">
        <v>1597</v>
      </c>
      <c r="B159" s="1" t="s">
        <v>1360</v>
      </c>
      <c r="C159" s="1" t="s">
        <v>21</v>
      </c>
      <c r="D159" s="1" t="s">
        <v>46</v>
      </c>
      <c r="E159" s="1" t="s">
        <v>1680</v>
      </c>
      <c r="F159" s="1" t="s">
        <v>1681</v>
      </c>
      <c r="G159" s="1" t="s">
        <v>24</v>
      </c>
      <c r="H159" s="1">
        <v>2.11</v>
      </c>
      <c r="I159" s="2">
        <v>362.0</v>
      </c>
      <c r="J159" s="15">
        <f t="shared" si="2"/>
        <v>171.563981042654</v>
      </c>
      <c r="K159" s="3">
        <f t="shared" si="1"/>
        <v>0.422955801104972</v>
      </c>
      <c r="L159" s="15">
        <v>99.0</v>
      </c>
    </row>
    <row r="160" ht="17.0">
      <c r="A160" s="1" t="s">
        <v>1597</v>
      </c>
      <c r="B160" s="1" t="s">
        <v>1360</v>
      </c>
      <c r="C160" s="1" t="s">
        <v>21</v>
      </c>
      <c r="D160" s="1" t="s">
        <v>46</v>
      </c>
      <c r="E160" s="1" t="s">
        <v>1682</v>
      </c>
      <c r="F160" s="1" t="s">
        <v>1683</v>
      </c>
      <c r="G160" s="1" t="s">
        <v>24</v>
      </c>
      <c r="H160" s="1">
        <v>1.08</v>
      </c>
      <c r="I160" s="2">
        <v>272.0</v>
      </c>
      <c r="J160" s="15">
        <f t="shared" si="2"/>
        <v>251.851851851851</v>
      </c>
      <c r="K160" s="3">
        <f t="shared" si="1"/>
        <v>0.368676470588233</v>
      </c>
      <c r="L160" s="15">
        <v>159.0</v>
      </c>
    </row>
    <row r="161" ht="17.0">
      <c r="A161" s="1" t="s">
        <v>1597</v>
      </c>
      <c r="B161" s="1" t="s">
        <v>1360</v>
      </c>
      <c r="C161" s="1" t="s">
        <v>21</v>
      </c>
      <c r="D161" s="1" t="s">
        <v>46</v>
      </c>
      <c r="E161" s="1" t="s">
        <v>1684</v>
      </c>
      <c r="F161" s="1" t="s">
        <v>1685</v>
      </c>
      <c r="G161" s="1" t="s">
        <v>24</v>
      </c>
      <c r="H161" s="1">
        <v>1.16</v>
      </c>
      <c r="I161" s="2">
        <v>809.0</v>
      </c>
      <c r="J161" s="15">
        <f t="shared" si="2"/>
        <v>697.413793103448</v>
      </c>
      <c r="K161" s="3">
        <f t="shared" si="1"/>
        <v>0.356192830655128</v>
      </c>
      <c r="L161" s="15">
        <v>449.0</v>
      </c>
    </row>
    <row r="162" ht="17.0">
      <c r="A162" s="1" t="s">
        <v>1597</v>
      </c>
      <c r="B162" s="1" t="s">
        <v>1360</v>
      </c>
      <c r="C162" s="1" t="s">
        <v>21</v>
      </c>
      <c r="D162" s="1" t="s">
        <v>46</v>
      </c>
      <c r="E162" s="1" t="s">
        <v>1686</v>
      </c>
      <c r="F162" s="1" t="s">
        <v>1687</v>
      </c>
      <c r="G162" s="1" t="s">
        <v>24</v>
      </c>
      <c r="H162" s="1">
        <v>1.63</v>
      </c>
      <c r="I162" s="2">
        <v>354.0</v>
      </c>
      <c r="J162" s="15">
        <f t="shared" si="2"/>
        <v>217.177914110429</v>
      </c>
      <c r="K162" s="3">
        <f t="shared" si="1"/>
        <v>0.406016949152541</v>
      </c>
      <c r="L162" s="15">
        <v>129.0</v>
      </c>
    </row>
    <row r="163" ht="17.0">
      <c r="A163" s="1" t="s">
        <v>1597</v>
      </c>
      <c r="B163" s="1" t="s">
        <v>1360</v>
      </c>
      <c r="C163" s="1" t="s">
        <v>21</v>
      </c>
      <c r="D163" s="1" t="s">
        <v>46</v>
      </c>
      <c r="E163" s="1" t="s">
        <v>1688</v>
      </c>
      <c r="F163" s="1" t="s">
        <v>1689</v>
      </c>
      <c r="G163" s="1" t="s">
        <v>24</v>
      </c>
      <c r="H163" s="1">
        <v>1.8</v>
      </c>
      <c r="I163" s="2">
        <v>743.0</v>
      </c>
      <c r="J163" s="15">
        <f t="shared" si="2"/>
        <v>412.777777777778</v>
      </c>
      <c r="K163" s="3">
        <f t="shared" si="1"/>
        <v>0.420995962314938</v>
      </c>
      <c r="L163" s="15">
        <v>239.0</v>
      </c>
    </row>
    <row r="164" ht="17.0">
      <c r="A164" s="1" t="s">
        <v>1597</v>
      </c>
      <c r="B164" s="1" t="s">
        <v>1360</v>
      </c>
      <c r="C164" s="1" t="s">
        <v>21</v>
      </c>
      <c r="D164" s="1" t="s">
        <v>46</v>
      </c>
      <c r="E164" s="1" t="s">
        <v>1690</v>
      </c>
      <c r="F164" s="1" t="s">
        <v>1691</v>
      </c>
      <c r="G164" s="1" t="s">
        <v>24</v>
      </c>
      <c r="H164" s="1">
        <v>1.08</v>
      </c>
      <c r="I164" s="2">
        <v>272.0</v>
      </c>
      <c r="J164" s="15">
        <f t="shared" si="2"/>
        <v>251.851851851851</v>
      </c>
      <c r="K164" s="3">
        <f t="shared" si="1"/>
        <v>0.408382352941174</v>
      </c>
      <c r="L164" s="15">
        <v>149.0</v>
      </c>
    </row>
    <row r="165" ht="17.0">
      <c r="A165" s="1" t="s">
        <v>1597</v>
      </c>
      <c r="B165" s="1" t="s">
        <v>1360</v>
      </c>
      <c r="C165" s="1" t="s">
        <v>21</v>
      </c>
      <c r="D165" s="1" t="s">
        <v>46</v>
      </c>
      <c r="E165" s="1" t="s">
        <v>1692</v>
      </c>
      <c r="F165" s="1" t="s">
        <v>1693</v>
      </c>
      <c r="G165" s="1" t="s">
        <v>24</v>
      </c>
      <c r="H165" s="1">
        <v>1.08</v>
      </c>
      <c r="I165" s="2">
        <v>247.0</v>
      </c>
      <c r="J165" s="15">
        <f t="shared" si="2"/>
        <v>228.703703703703</v>
      </c>
      <c r="K165" s="3">
        <f t="shared" si="1"/>
        <v>0.304777327935221</v>
      </c>
      <c r="L165" s="15">
        <v>159.0</v>
      </c>
    </row>
    <row r="166" ht="17.0">
      <c r="A166" s="1" t="s">
        <v>1597</v>
      </c>
      <c r="B166" s="1" t="s">
        <v>1360</v>
      </c>
      <c r="C166" s="1" t="s">
        <v>21</v>
      </c>
      <c r="D166" s="1" t="s">
        <v>46</v>
      </c>
      <c r="E166" s="1" t="s">
        <v>1694</v>
      </c>
      <c r="F166" s="1" t="s">
        <v>1695</v>
      </c>
      <c r="G166" s="1" t="s">
        <v>24</v>
      </c>
      <c r="H166" s="1">
        <v>1.08</v>
      </c>
      <c r="I166" s="2">
        <v>260.0</v>
      </c>
      <c r="J166" s="15">
        <f t="shared" si="2"/>
        <v>240.74074074074</v>
      </c>
      <c r="K166" s="3">
        <f t="shared" si="1"/>
        <v>0.33953846153846</v>
      </c>
      <c r="L166" s="15">
        <v>159.0</v>
      </c>
    </row>
    <row r="167" ht="17.0">
      <c r="A167" s="1" t="s">
        <v>1597</v>
      </c>
      <c r="B167" s="1" t="s">
        <v>1360</v>
      </c>
      <c r="C167" s="1" t="s">
        <v>21</v>
      </c>
      <c r="D167" s="1" t="s">
        <v>46</v>
      </c>
      <c r="E167" s="1" t="s">
        <v>1696</v>
      </c>
      <c r="F167" s="1" t="s">
        <v>1697</v>
      </c>
      <c r="G167" s="1" t="s">
        <v>24</v>
      </c>
      <c r="H167" s="1">
        <v>1.37</v>
      </c>
      <c r="I167" s="2">
        <v>1180.0</v>
      </c>
      <c r="J167" s="15">
        <f t="shared" si="2"/>
        <v>861.313868613139</v>
      </c>
      <c r="K167" s="3">
        <f t="shared" si="1"/>
        <v>0.513533898305085</v>
      </c>
      <c r="L167" s="15">
        <v>419.0</v>
      </c>
    </row>
    <row r="168" ht="17.0">
      <c r="A168" s="1" t="s">
        <v>1597</v>
      </c>
      <c r="B168" s="1" t="s">
        <v>1360</v>
      </c>
      <c r="C168" s="1" t="s">
        <v>21</v>
      </c>
      <c r="D168" s="1" t="s">
        <v>46</v>
      </c>
      <c r="E168" s="1" t="s">
        <v>1698</v>
      </c>
      <c r="F168" s="1" t="s">
        <v>1699</v>
      </c>
      <c r="G168" s="1" t="s">
        <v>24</v>
      </c>
      <c r="H168" s="1">
        <v>2.56</v>
      </c>
      <c r="I168" s="2">
        <v>2189.0</v>
      </c>
      <c r="J168" s="15">
        <f t="shared" si="2"/>
        <v>855.078125</v>
      </c>
      <c r="K168" s="3">
        <f t="shared" si="1"/>
        <v>0.299479214253083</v>
      </c>
      <c r="L168" s="15">
        <v>599.0</v>
      </c>
    </row>
    <row r="169" ht="17.0">
      <c r="A169" s="1" t="s">
        <v>1597</v>
      </c>
      <c r="B169" s="1" t="s">
        <v>1360</v>
      </c>
      <c r="C169" s="1" t="s">
        <v>21</v>
      </c>
      <c r="D169" s="1" t="s">
        <v>46</v>
      </c>
      <c r="E169" s="1" t="s">
        <v>1700</v>
      </c>
      <c r="F169" s="1" t="s">
        <v>1701</v>
      </c>
      <c r="G169" s="1" t="s">
        <v>24</v>
      </c>
      <c r="H169" s="1">
        <v>1.63</v>
      </c>
      <c r="I169" s="2">
        <v>354.0</v>
      </c>
      <c r="J169" s="15">
        <f t="shared" si="2"/>
        <v>217.177914110429</v>
      </c>
      <c r="K169" s="3">
        <f t="shared" si="1"/>
        <v>0.406016949152541</v>
      </c>
      <c r="L169" s="15">
        <v>129.0</v>
      </c>
    </row>
    <row r="170" ht="17.0">
      <c r="A170" s="1" t="s">
        <v>1597</v>
      </c>
      <c r="B170" s="1" t="s">
        <v>1360</v>
      </c>
      <c r="C170" s="1" t="s">
        <v>21</v>
      </c>
      <c r="D170" s="1" t="s">
        <v>46</v>
      </c>
      <c r="E170" s="1" t="s">
        <v>1702</v>
      </c>
      <c r="F170" s="1" t="s">
        <v>1703</v>
      </c>
      <c r="G170" s="1" t="s">
        <v>24</v>
      </c>
      <c r="H170" s="1">
        <v>2.11</v>
      </c>
      <c r="I170" s="2">
        <v>400.0</v>
      </c>
      <c r="J170" s="15">
        <f t="shared" si="2"/>
        <v>189.57345971563</v>
      </c>
      <c r="K170" s="3">
        <f t="shared" si="1"/>
        <v>0.266774999999962</v>
      </c>
      <c r="L170" s="15">
        <v>139.0</v>
      </c>
    </row>
    <row r="171" ht="17.0">
      <c r="A171" s="1" t="s">
        <v>1597</v>
      </c>
      <c r="B171" s="1" t="s">
        <v>1360</v>
      </c>
      <c r="C171" s="1" t="s">
        <v>21</v>
      </c>
      <c r="D171" s="1" t="s">
        <v>46</v>
      </c>
      <c r="E171" s="1" t="s">
        <v>1704</v>
      </c>
      <c r="F171" s="1" t="s">
        <v>1705</v>
      </c>
      <c r="G171" s="1" t="s">
        <v>24</v>
      </c>
      <c r="H171" s="1">
        <v>1.36</v>
      </c>
      <c r="I171" s="2">
        <v>479.0</v>
      </c>
      <c r="J171" s="15">
        <f t="shared" si="2"/>
        <v>352.205882352941</v>
      </c>
      <c r="K171" s="3">
        <f t="shared" si="1"/>
        <v>0.349812108559497</v>
      </c>
      <c r="L171" s="15">
        <v>229.0</v>
      </c>
    </row>
    <row r="172" ht="17.0">
      <c r="A172" s="1" t="s">
        <v>1597</v>
      </c>
      <c r="B172" s="1" t="s">
        <v>1360</v>
      </c>
      <c r="C172" s="1" t="s">
        <v>21</v>
      </c>
      <c r="D172" s="1" t="s">
        <v>46</v>
      </c>
      <c r="E172" s="1" t="s">
        <v>1706</v>
      </c>
      <c r="F172" s="1" t="s">
        <v>1707</v>
      </c>
      <c r="G172" s="1" t="s">
        <v>24</v>
      </c>
      <c r="H172" s="1">
        <v>1.44</v>
      </c>
      <c r="I172" s="2">
        <v>639.0</v>
      </c>
      <c r="J172" s="15">
        <f t="shared" si="2"/>
        <v>443.75</v>
      </c>
      <c r="K172" s="3">
        <f t="shared" si="1"/>
        <v>0.190985915492956</v>
      </c>
      <c r="L172" s="15">
        <v>359.0</v>
      </c>
    </row>
    <row r="173" ht="17.0">
      <c r="A173" s="1" t="s">
        <v>1597</v>
      </c>
      <c r="B173" s="1" t="s">
        <v>1360</v>
      </c>
      <c r="C173" s="1" t="s">
        <v>21</v>
      </c>
      <c r="D173" s="1" t="s">
        <v>46</v>
      </c>
      <c r="E173" s="1" t="s">
        <v>1708</v>
      </c>
      <c r="F173" s="1" t="s">
        <v>1709</v>
      </c>
      <c r="G173" s="1" t="s">
        <v>24</v>
      </c>
      <c r="H173" s="1">
        <v>1.5</v>
      </c>
      <c r="I173" s="2">
        <v>419.0</v>
      </c>
      <c r="J173" s="15">
        <f t="shared" si="2"/>
        <v>279.333333333333</v>
      </c>
      <c r="K173" s="3">
        <f t="shared" si="1"/>
        <v>0.180190930787587</v>
      </c>
      <c r="L173" s="15">
        <v>229.0</v>
      </c>
    </row>
    <row r="174" ht="17.0">
      <c r="A174" s="1" t="s">
        <v>1597</v>
      </c>
      <c r="B174" s="1" t="s">
        <v>1360</v>
      </c>
      <c r="C174" s="1" t="s">
        <v>21</v>
      </c>
      <c r="D174" s="1" t="s">
        <v>46</v>
      </c>
      <c r="E174" s="1" t="s">
        <v>1710</v>
      </c>
      <c r="F174" s="1" t="s">
        <v>1711</v>
      </c>
      <c r="G174" s="1" t="s">
        <v>24</v>
      </c>
      <c r="H174" s="1">
        <v>2.11</v>
      </c>
      <c r="I174" s="2">
        <v>386.0</v>
      </c>
      <c r="J174" s="15">
        <f t="shared" si="2"/>
        <v>182.938388625592</v>
      </c>
      <c r="K174" s="3">
        <f t="shared" si="1"/>
        <v>0.240181347150256</v>
      </c>
      <c r="L174" s="15">
        <v>139.0</v>
      </c>
    </row>
    <row r="175" ht="17.0">
      <c r="A175" s="1" t="s">
        <v>1597</v>
      </c>
      <c r="B175" s="1" t="s">
        <v>1360</v>
      </c>
      <c r="C175" s="1" t="s">
        <v>21</v>
      </c>
      <c r="D175" s="1" t="s">
        <v>46</v>
      </c>
      <c r="E175" s="1" t="s">
        <v>1712</v>
      </c>
      <c r="F175" s="1" t="s">
        <v>1713</v>
      </c>
      <c r="G175" s="1" t="s">
        <v>24</v>
      </c>
      <c r="H175" s="1">
        <v>1.08</v>
      </c>
      <c r="I175" s="2">
        <v>247.0</v>
      </c>
      <c r="J175" s="15">
        <f t="shared" si="2"/>
        <v>228.703703703703</v>
      </c>
      <c r="K175" s="3">
        <f t="shared" si="1"/>
        <v>0.304777327935221</v>
      </c>
      <c r="L175" s="15">
        <v>159.0</v>
      </c>
    </row>
    <row r="176" ht="17.0">
      <c r="A176" s="1" t="s">
        <v>1597</v>
      </c>
      <c r="B176" s="1" t="s">
        <v>1360</v>
      </c>
      <c r="C176" s="1" t="s">
        <v>21</v>
      </c>
      <c r="D176" s="1" t="s">
        <v>46</v>
      </c>
      <c r="E176" s="1" t="s">
        <v>1714</v>
      </c>
      <c r="F176" s="1" t="s">
        <v>1715</v>
      </c>
      <c r="G176" s="1" t="s">
        <v>24</v>
      </c>
      <c r="H176" s="1">
        <v>1.8</v>
      </c>
      <c r="I176" s="2">
        <v>659.0</v>
      </c>
      <c r="J176" s="15">
        <f t="shared" si="2"/>
        <v>366.111111111111</v>
      </c>
      <c r="K176" s="3">
        <f t="shared" si="1"/>
        <v>0.374506828528073</v>
      </c>
      <c r="L176" s="15">
        <v>229.0</v>
      </c>
    </row>
    <row r="177" ht="17.0">
      <c r="A177" s="1" t="s">
        <v>1597</v>
      </c>
      <c r="B177" s="1" t="s">
        <v>1360</v>
      </c>
      <c r="C177" s="1" t="s">
        <v>21</v>
      </c>
      <c r="D177" s="1" t="s">
        <v>46</v>
      </c>
      <c r="E177" s="1" t="s">
        <v>1716</v>
      </c>
      <c r="F177" s="1" t="s">
        <v>1717</v>
      </c>
      <c r="G177" s="1" t="s">
        <v>24</v>
      </c>
      <c r="H177" s="1">
        <v>1.36</v>
      </c>
      <c r="I177" s="2">
        <v>479.0</v>
      </c>
      <c r="J177" s="15">
        <f t="shared" si="2"/>
        <v>352.205882352941</v>
      </c>
      <c r="K177" s="3">
        <f t="shared" si="1"/>
        <v>0.349812108559497</v>
      </c>
      <c r="L177" s="15">
        <v>229.0</v>
      </c>
    </row>
    <row r="178" ht="17.0">
      <c r="A178" s="1" t="s">
        <v>1597</v>
      </c>
      <c r="B178" s="1" t="s">
        <v>1360</v>
      </c>
      <c r="C178" s="1" t="s">
        <v>21</v>
      </c>
      <c r="D178" s="1" t="s">
        <v>46</v>
      </c>
      <c r="E178" s="1" t="s">
        <v>1718</v>
      </c>
      <c r="F178" s="1" t="s">
        <v>1719</v>
      </c>
      <c r="G178" s="1" t="s">
        <v>24</v>
      </c>
      <c r="H178" s="1">
        <v>1.6</v>
      </c>
      <c r="I178" s="2">
        <v>589.0</v>
      </c>
      <c r="J178" s="15">
        <f t="shared" si="2"/>
        <v>368.125</v>
      </c>
      <c r="K178" s="3">
        <f t="shared" si="1"/>
        <v>0.160611205432938</v>
      </c>
      <c r="L178" s="15">
        <v>309.0</v>
      </c>
    </row>
    <row r="179" ht="17.0">
      <c r="A179" s="1" t="s">
        <v>1597</v>
      </c>
      <c r="B179" s="1" t="s">
        <v>1360</v>
      </c>
      <c r="C179" s="1" t="s">
        <v>21</v>
      </c>
      <c r="D179" s="1" t="s">
        <v>46</v>
      </c>
      <c r="E179" s="1" t="s">
        <v>1720</v>
      </c>
      <c r="F179" s="1" t="s">
        <v>1721</v>
      </c>
      <c r="G179" s="1" t="s">
        <v>24</v>
      </c>
      <c r="H179" s="1">
        <v>1.63</v>
      </c>
      <c r="I179" s="2">
        <v>485.0</v>
      </c>
      <c r="J179" s="15">
        <f t="shared" si="2"/>
        <v>297.546012269939</v>
      </c>
      <c r="K179" s="3">
        <f t="shared" si="1"/>
        <v>0.432020618556702</v>
      </c>
      <c r="L179" s="15">
        <v>169.0</v>
      </c>
    </row>
    <row r="180" ht="17.0">
      <c r="A180" s="1" t="s">
        <v>1597</v>
      </c>
      <c r="B180" s="1" t="s">
        <v>1360</v>
      </c>
      <c r="C180" s="1" t="s">
        <v>21</v>
      </c>
      <c r="D180" s="1" t="s">
        <v>46</v>
      </c>
      <c r="E180" s="1" t="s">
        <v>1722</v>
      </c>
      <c r="F180" s="1" t="s">
        <v>1723</v>
      </c>
      <c r="G180" s="1" t="s">
        <v>24</v>
      </c>
      <c r="H180" s="1">
        <v>1.44</v>
      </c>
      <c r="I180" s="2">
        <v>669.0</v>
      </c>
      <c r="J180" s="15">
        <f t="shared" si="2"/>
        <v>464.583333333333</v>
      </c>
      <c r="K180" s="3">
        <f t="shared" si="1"/>
        <v>0.399461883408071</v>
      </c>
      <c r="L180" s="15">
        <v>279.0</v>
      </c>
    </row>
    <row r="181" ht="17.0">
      <c r="A181" s="1" t="s">
        <v>1597</v>
      </c>
      <c r="B181" s="1" t="s">
        <v>1360</v>
      </c>
      <c r="C181" s="1" t="s">
        <v>21</v>
      </c>
      <c r="D181" s="1" t="s">
        <v>46</v>
      </c>
      <c r="E181" s="1" t="s">
        <v>1724</v>
      </c>
      <c r="F181" s="1" t="s">
        <v>1725</v>
      </c>
      <c r="G181" s="1" t="s">
        <v>24</v>
      </c>
      <c r="H181" s="1">
        <v>2.11</v>
      </c>
      <c r="I181" s="2">
        <v>400.0</v>
      </c>
      <c r="J181" s="15">
        <f t="shared" si="2"/>
        <v>189.57345971563</v>
      </c>
      <c r="K181" s="3">
        <f t="shared" si="1"/>
        <v>0.477774999999972</v>
      </c>
      <c r="L181" s="15">
        <v>99.0</v>
      </c>
    </row>
    <row r="182" ht="17.0">
      <c r="A182" s="1" t="s">
        <v>1597</v>
      </c>
      <c r="B182" s="1" t="s">
        <v>1360</v>
      </c>
      <c r="C182" s="1" t="s">
        <v>21</v>
      </c>
      <c r="D182" s="1" t="s">
        <v>46</v>
      </c>
      <c r="E182" s="1" t="s">
        <v>1726</v>
      </c>
      <c r="F182" s="1" t="s">
        <v>1727</v>
      </c>
      <c r="G182" s="1" t="s">
        <v>24</v>
      </c>
      <c r="H182" s="1">
        <v>1.36</v>
      </c>
      <c r="I182" s="2">
        <v>358.0</v>
      </c>
      <c r="J182" s="15">
        <f t="shared" si="2"/>
        <v>263.235294117647</v>
      </c>
      <c r="K182" s="3">
        <f t="shared" si="1"/>
        <v>0.471955307262568</v>
      </c>
      <c r="L182" s="15">
        <v>139.0</v>
      </c>
    </row>
    <row r="183" ht="17.0">
      <c r="A183" s="1" t="s">
        <v>1597</v>
      </c>
      <c r="B183" s="1" t="s">
        <v>1360</v>
      </c>
      <c r="C183" s="1" t="s">
        <v>21</v>
      </c>
      <c r="D183" s="1" t="s">
        <v>46</v>
      </c>
      <c r="E183" s="1" t="s">
        <v>1728</v>
      </c>
      <c r="F183" s="1" t="s">
        <v>1729</v>
      </c>
      <c r="G183" s="1" t="s">
        <v>24</v>
      </c>
      <c r="H183" s="1">
        <v>2.11</v>
      </c>
      <c r="I183" s="2">
        <v>529.0</v>
      </c>
      <c r="J183" s="15">
        <f t="shared" si="2"/>
        <v>250.710900473933</v>
      </c>
      <c r="K183" s="3">
        <f t="shared" si="1"/>
        <v>0.365803402646501</v>
      </c>
      <c r="L183" s="15">
        <v>159.0</v>
      </c>
    </row>
    <row r="184" ht="17.0">
      <c r="A184" s="1" t="s">
        <v>1597</v>
      </c>
      <c r="B184" s="1" t="s">
        <v>1360</v>
      </c>
      <c r="C184" s="1" t="s">
        <v>21</v>
      </c>
      <c r="D184" s="1" t="s">
        <v>46</v>
      </c>
      <c r="E184" s="1" t="s">
        <v>1730</v>
      </c>
      <c r="F184" s="1" t="s">
        <v>1731</v>
      </c>
      <c r="G184" s="1" t="s">
        <v>24</v>
      </c>
      <c r="H184" s="1">
        <v>0.99</v>
      </c>
      <c r="I184" s="2">
        <v>227.0</v>
      </c>
      <c r="J184" s="15">
        <f t="shared" si="2"/>
        <v>229.292929292929</v>
      </c>
      <c r="K184" s="3">
        <f t="shared" si="1"/>
        <v>0.219339207048458</v>
      </c>
      <c r="L184" s="15">
        <v>179.0</v>
      </c>
    </row>
    <row r="185" ht="17.0">
      <c r="A185" s="1" t="s">
        <v>1597</v>
      </c>
      <c r="B185" s="1" t="s">
        <v>1360</v>
      </c>
      <c r="C185" s="1" t="s">
        <v>21</v>
      </c>
      <c r="D185" s="1" t="s">
        <v>46</v>
      </c>
      <c r="E185" s="1" t="s">
        <v>1732</v>
      </c>
      <c r="F185" s="1" t="s">
        <v>1733</v>
      </c>
      <c r="G185" s="1" t="s">
        <v>24</v>
      </c>
      <c r="H185" s="1">
        <v>1.8</v>
      </c>
      <c r="I185" s="2">
        <v>743.0</v>
      </c>
      <c r="J185" s="15">
        <f t="shared" si="2"/>
        <v>412.777777777778</v>
      </c>
      <c r="K185" s="3">
        <f t="shared" si="1"/>
        <v>0.396769851951549</v>
      </c>
      <c r="L185" s="15">
        <v>249.0</v>
      </c>
    </row>
    <row r="186" ht="17.0">
      <c r="A186" s="1" t="s">
        <v>1597</v>
      </c>
      <c r="B186" s="1" t="s">
        <v>1360</v>
      </c>
      <c r="C186" s="1" t="s">
        <v>21</v>
      </c>
      <c r="D186" s="1" t="s">
        <v>46</v>
      </c>
      <c r="E186" s="1" t="s">
        <v>1734</v>
      </c>
      <c r="F186" s="1" t="s">
        <v>1735</v>
      </c>
      <c r="G186" s="1" t="s">
        <v>24</v>
      </c>
      <c r="H186" s="1">
        <v>1.44</v>
      </c>
      <c r="I186" s="2">
        <v>449.0</v>
      </c>
      <c r="J186" s="15">
        <f t="shared" si="2"/>
        <v>311.805555555556</v>
      </c>
      <c r="K186" s="3">
        <f t="shared" si="1"/>
        <v>0.265567928730513</v>
      </c>
      <c r="L186" s="15">
        <v>229.0</v>
      </c>
    </row>
    <row r="187" ht="17.0">
      <c r="A187" s="1" t="s">
        <v>1597</v>
      </c>
      <c r="B187" s="1" t="s">
        <v>1360</v>
      </c>
      <c r="C187" s="1" t="s">
        <v>21</v>
      </c>
      <c r="D187" s="1" t="s">
        <v>46</v>
      </c>
      <c r="E187" s="1" t="s">
        <v>1736</v>
      </c>
      <c r="F187" s="1" t="s">
        <v>1737</v>
      </c>
      <c r="G187" s="1" t="s">
        <v>24</v>
      </c>
      <c r="H187" s="1">
        <v>0.99</v>
      </c>
      <c r="I187" s="2">
        <v>189.0</v>
      </c>
      <c r="J187" s="15">
        <f t="shared" si="2"/>
        <v>190.90909090909</v>
      </c>
      <c r="K187" s="3">
        <f t="shared" si="1"/>
        <v>0.271904761904759</v>
      </c>
      <c r="L187" s="15">
        <v>139.0</v>
      </c>
    </row>
    <row r="188" ht="17.0">
      <c r="A188" s="1" t="s">
        <v>1597</v>
      </c>
      <c r="B188" s="1" t="s">
        <v>1360</v>
      </c>
      <c r="C188" s="1" t="s">
        <v>21</v>
      </c>
      <c r="D188" s="1" t="s">
        <v>46</v>
      </c>
      <c r="E188" s="1" t="s">
        <v>1738</v>
      </c>
      <c r="F188" s="1" t="s">
        <v>1739</v>
      </c>
      <c r="G188" s="1" t="s">
        <v>24</v>
      </c>
      <c r="H188" s="1">
        <v>1.83</v>
      </c>
      <c r="I188" s="2">
        <v>609.0</v>
      </c>
      <c r="J188" s="15">
        <f t="shared" si="2"/>
        <v>332.786885245901</v>
      </c>
      <c r="K188" s="3">
        <f t="shared" si="1"/>
        <v>0.552266009852216</v>
      </c>
      <c r="L188" s="15">
        <v>149.0</v>
      </c>
    </row>
    <row r="189" ht="17.0">
      <c r="A189" s="1" t="s">
        <v>1597</v>
      </c>
      <c r="B189" s="1" t="s">
        <v>1360</v>
      </c>
      <c r="C189" s="1" t="s">
        <v>21</v>
      </c>
      <c r="D189" s="1" t="s">
        <v>46</v>
      </c>
      <c r="E189" s="1" t="s">
        <v>1740</v>
      </c>
      <c r="F189" s="1" t="s">
        <v>1741</v>
      </c>
      <c r="G189" s="1" t="s">
        <v>24</v>
      </c>
      <c r="H189" s="1">
        <v>1.28</v>
      </c>
      <c r="I189" s="2">
        <v>1099.0</v>
      </c>
      <c r="J189" s="15">
        <f t="shared" si="2"/>
        <v>858.59375</v>
      </c>
      <c r="K189" s="3">
        <f t="shared" si="1"/>
        <v>0.302347588717014</v>
      </c>
      <c r="L189" s="15">
        <v>599.0</v>
      </c>
    </row>
    <row r="190" ht="17.0">
      <c r="A190" s="1" t="s">
        <v>1597</v>
      </c>
      <c r="B190" s="1" t="s">
        <v>1360</v>
      </c>
      <c r="C190" s="1" t="s">
        <v>21</v>
      </c>
      <c r="D190" s="1" t="s">
        <v>46</v>
      </c>
      <c r="E190" s="1" t="s">
        <v>1742</v>
      </c>
      <c r="F190" s="1" t="s">
        <v>1743</v>
      </c>
      <c r="G190" s="1" t="s">
        <v>24</v>
      </c>
      <c r="H190" s="1">
        <v>1.81</v>
      </c>
      <c r="I190" s="2">
        <v>649.0</v>
      </c>
      <c r="J190" s="15">
        <f t="shared" si="2"/>
        <v>358.563535911602</v>
      </c>
      <c r="K190" s="3">
        <f t="shared" si="1"/>
        <v>0.277673343605545</v>
      </c>
      <c r="L190" s="15">
        <v>259.0</v>
      </c>
    </row>
    <row r="191" ht="17.0">
      <c r="A191" s="1" t="s">
        <v>1744</v>
      </c>
      <c r="B191" s="1" t="s">
        <v>1360</v>
      </c>
      <c r="C191" s="1" t="s">
        <v>21</v>
      </c>
      <c r="D191" s="1" t="s">
        <v>22</v>
      </c>
      <c r="E191" s="10">
        <v>5.20012413847061E14</v>
      </c>
      <c r="F191" s="1" t="s">
        <v>1745</v>
      </c>
      <c r="G191" s="1" t="s">
        <v>24</v>
      </c>
      <c r="H191" s="1">
        <v>1.64</v>
      </c>
      <c r="I191" s="2">
        <v>573.0</v>
      </c>
      <c r="J191" s="15">
        <f t="shared" si="2"/>
        <v>349.390243902439</v>
      </c>
      <c r="K191" s="3">
        <f t="shared" si="1"/>
        <v>0.544921465968587</v>
      </c>
      <c r="L191" s="15">
        <v>159.0</v>
      </c>
    </row>
    <row r="192" ht="17.0">
      <c r="A192" s="1" t="s">
        <v>1597</v>
      </c>
      <c r="B192" s="1" t="s">
        <v>1360</v>
      </c>
      <c r="C192" s="1" t="s">
        <v>21</v>
      </c>
      <c r="D192" s="1" t="s">
        <v>46</v>
      </c>
      <c r="E192" s="10" t="s">
        <v>1612</v>
      </c>
      <c r="F192" s="10" t="s">
        <v>1613</v>
      </c>
      <c r="G192" s="1" t="s">
        <v>24</v>
      </c>
      <c r="H192" s="1">
        <v>1.62</v>
      </c>
      <c r="I192" s="2">
        <v>679.0</v>
      </c>
      <c r="J192" s="15">
        <f t="shared" si="2"/>
        <v>419.135802469136</v>
      </c>
      <c r="K192" s="3">
        <f t="shared" si="1"/>
        <v>0.52521354933726</v>
      </c>
      <c r="L192" s="15">
        <v>199.0</v>
      </c>
    </row>
    <row r="193" ht="17.0">
      <c r="A193" s="1" t="s">
        <v>1597</v>
      </c>
      <c r="B193" s="1" t="s">
        <v>1360</v>
      </c>
      <c r="C193" s="1" t="s">
        <v>21</v>
      </c>
      <c r="D193" s="1" t="s">
        <v>46</v>
      </c>
      <c r="E193" s="10" t="s">
        <v>1600</v>
      </c>
      <c r="F193" s="10" t="s">
        <v>1601</v>
      </c>
      <c r="G193" s="1" t="s">
        <v>24</v>
      </c>
      <c r="H193" s="1">
        <v>1.62</v>
      </c>
      <c r="I193" s="2">
        <v>679.0</v>
      </c>
      <c r="J193" s="15">
        <f t="shared" si="2"/>
        <v>419.135802469136</v>
      </c>
      <c r="K193" s="3">
        <f t="shared" si="1"/>
        <v>0.52521354933726</v>
      </c>
      <c r="L193" s="15">
        <v>199.0</v>
      </c>
    </row>
    <row r="194" ht="17.0">
      <c r="A194" s="1" t="s">
        <v>1597</v>
      </c>
      <c r="B194" s="1" t="s">
        <v>1360</v>
      </c>
      <c r="C194" s="1" t="s">
        <v>21</v>
      </c>
      <c r="D194" s="1" t="s">
        <v>46</v>
      </c>
      <c r="E194" s="10" t="s">
        <v>1746</v>
      </c>
      <c r="F194" s="10" t="s">
        <v>1747</v>
      </c>
      <c r="G194" s="1" t="s">
        <v>24</v>
      </c>
      <c r="H194" s="1">
        <v>1.8</v>
      </c>
      <c r="I194" s="2">
        <v>591.0</v>
      </c>
      <c r="J194" s="15">
        <f t="shared" si="2"/>
        <v>328.333333333333</v>
      </c>
      <c r="K194" s="3">
        <f t="shared" si="1"/>
        <v>0.363451776649746</v>
      </c>
      <c r="L194" s="15">
        <v>209.0</v>
      </c>
    </row>
    <row r="195" ht="17.0">
      <c r="A195" s="1" t="s">
        <v>1597</v>
      </c>
      <c r="B195" s="1" t="s">
        <v>1360</v>
      </c>
      <c r="C195" s="1" t="s">
        <v>21</v>
      </c>
      <c r="D195" s="1" t="s">
        <v>46</v>
      </c>
      <c r="E195" s="10" t="s">
        <v>1632</v>
      </c>
      <c r="F195" s="10" t="s">
        <v>1633</v>
      </c>
      <c r="G195" s="1" t="s">
        <v>24</v>
      </c>
      <c r="H195" s="1">
        <v>1.6</v>
      </c>
      <c r="I195" s="2">
        <v>569.0</v>
      </c>
      <c r="J195" s="15">
        <f t="shared" si="2"/>
        <v>355.625</v>
      </c>
      <c r="K195" s="3">
        <f t="shared" si="1"/>
        <v>0.356063268892794</v>
      </c>
      <c r="L195" s="15">
        <v>229.0</v>
      </c>
    </row>
    <row r="196" ht="17.0">
      <c r="A196" s="1" t="s">
        <v>1597</v>
      </c>
      <c r="B196" s="1" t="s">
        <v>1360</v>
      </c>
      <c r="C196" s="1" t="s">
        <v>21</v>
      </c>
      <c r="D196" s="1" t="s">
        <v>46</v>
      </c>
      <c r="E196" s="10" t="s">
        <v>1676</v>
      </c>
      <c r="F196" s="10" t="s">
        <v>1677</v>
      </c>
      <c r="G196" s="1" t="s">
        <v>24</v>
      </c>
      <c r="H196" s="1">
        <v>1.28</v>
      </c>
      <c r="I196" s="2">
        <v>1099.0</v>
      </c>
      <c r="J196" s="15">
        <f t="shared" si="2"/>
        <v>858.59375</v>
      </c>
      <c r="K196" s="3">
        <f t="shared" si="1"/>
        <v>0.302347588717014</v>
      </c>
      <c r="L196" s="15">
        <v>599.0</v>
      </c>
    </row>
    <row r="197" ht="17.0">
      <c r="A197" s="1" t="s">
        <v>1597</v>
      </c>
      <c r="B197" s="1" t="s">
        <v>1360</v>
      </c>
      <c r="C197" s="1" t="s">
        <v>21</v>
      </c>
      <c r="D197" s="1" t="s">
        <v>46</v>
      </c>
      <c r="E197" s="10" t="s">
        <v>1748</v>
      </c>
      <c r="F197" s="10" t="s">
        <v>1749</v>
      </c>
      <c r="G197" s="1" t="s">
        <v>24</v>
      </c>
      <c r="H197" s="1">
        <v>1.28</v>
      </c>
      <c r="I197" s="2">
        <v>1099.0</v>
      </c>
      <c r="J197" s="15">
        <f t="shared" si="2"/>
        <v>858.59375</v>
      </c>
      <c r="K197" s="3">
        <f t="shared" si="1"/>
        <v>0.302347588717014</v>
      </c>
      <c r="L197" s="15">
        <v>599.0</v>
      </c>
    </row>
    <row r="198" ht="17.0">
      <c r="A198" s="1" t="s">
        <v>1196</v>
      </c>
      <c r="B198" s="1" t="s">
        <v>1360</v>
      </c>
      <c r="C198" s="1" t="s">
        <v>1233</v>
      </c>
      <c r="D198" s="1" t="s">
        <v>1750</v>
      </c>
      <c r="E198" s="1">
        <v>5.0582021E7</v>
      </c>
      <c r="F198" s="1" t="s">
        <v>1751</v>
      </c>
      <c r="G198" s="1" t="s">
        <v>1207</v>
      </c>
      <c r="L198" s="15">
        <v>2079.0</v>
      </c>
    </row>
    <row r="199" ht="17.0">
      <c r="A199" s="1" t="s">
        <v>1196</v>
      </c>
      <c r="B199" s="1" t="s">
        <v>1360</v>
      </c>
      <c r="C199" s="1" t="s">
        <v>1233</v>
      </c>
      <c r="D199" s="1" t="s">
        <v>1750</v>
      </c>
      <c r="E199" s="1">
        <v>5.1454021E7</v>
      </c>
      <c r="F199" s="1" t="s">
        <v>1752</v>
      </c>
      <c r="G199" s="1" t="s">
        <v>1207</v>
      </c>
    </row>
    <row r="200" ht="17.0">
      <c r="A200" s="1" t="s">
        <v>1196</v>
      </c>
      <c r="B200" s="1" t="s">
        <v>1360</v>
      </c>
      <c r="C200" s="1" t="s">
        <v>1233</v>
      </c>
      <c r="D200" s="1" t="s">
        <v>1750</v>
      </c>
      <c r="E200" s="1">
        <v>5.2006022E7</v>
      </c>
      <c r="F200" s="1" t="s">
        <v>1753</v>
      </c>
      <c r="G200" s="1" t="s">
        <v>1207</v>
      </c>
    </row>
    <row r="201" ht="17.0">
      <c r="A201" s="1" t="s">
        <v>1196</v>
      </c>
      <c r="B201" s="1" t="s">
        <v>1360</v>
      </c>
      <c r="C201" s="1" t="s">
        <v>1233</v>
      </c>
      <c r="D201" s="1" t="s">
        <v>1750</v>
      </c>
      <c r="E201" s="1">
        <v>5.3006022E7</v>
      </c>
      <c r="F201" s="1" t="s">
        <v>1754</v>
      </c>
      <c r="G201" s="1" t="s">
        <v>1207</v>
      </c>
    </row>
    <row r="202" ht="17.0">
      <c r="A202" s="1" t="s">
        <v>1196</v>
      </c>
      <c r="B202" s="1" t="s">
        <v>1360</v>
      </c>
      <c r="C202" s="1" t="s">
        <v>1233</v>
      </c>
      <c r="D202" s="1" t="s">
        <v>1755</v>
      </c>
      <c r="E202" s="1">
        <v>5.0106023E7</v>
      </c>
      <c r="F202" s="1" t="s">
        <v>1756</v>
      </c>
      <c r="G202" s="1" t="s">
        <v>1207</v>
      </c>
      <c r="L202" s="15">
        <v>2189.0</v>
      </c>
    </row>
    <row r="203" ht="17.0">
      <c r="A203" s="1" t="s">
        <v>1196</v>
      </c>
      <c r="B203" s="1" t="s">
        <v>1360</v>
      </c>
      <c r="C203" s="1" t="s">
        <v>1233</v>
      </c>
      <c r="D203" s="1" t="s">
        <v>1755</v>
      </c>
      <c r="E203" s="1">
        <v>5.2010023E7</v>
      </c>
      <c r="F203" s="1" t="s">
        <v>1757</v>
      </c>
      <c r="G203" s="1" t="s">
        <v>1207</v>
      </c>
    </row>
    <row r="204" ht="17.0">
      <c r="A204" s="1" t="s">
        <v>1196</v>
      </c>
      <c r="B204" s="1" t="s">
        <v>1360</v>
      </c>
      <c r="C204" s="1" t="s">
        <v>1233</v>
      </c>
      <c r="D204" s="1" t="s">
        <v>1755</v>
      </c>
      <c r="E204" s="1">
        <v>5.3010022E7</v>
      </c>
      <c r="F204" s="1" t="s">
        <v>1758</v>
      </c>
      <c r="G204" s="1" t="s">
        <v>1207</v>
      </c>
    </row>
    <row r="205" ht="17.0">
      <c r="A205" s="1" t="s">
        <v>1196</v>
      </c>
      <c r="B205" s="1" t="s">
        <v>1360</v>
      </c>
      <c r="C205" s="1" t="s">
        <v>1233</v>
      </c>
      <c r="D205" s="1" t="s">
        <v>1755</v>
      </c>
      <c r="E205" s="1" t="s">
        <v>1242</v>
      </c>
      <c r="F205" s="1" t="s">
        <v>1243</v>
      </c>
      <c r="G205" s="1" t="s">
        <v>1207</v>
      </c>
    </row>
    <row r="206" ht="17.0">
      <c r="A206" s="1" t="s">
        <v>1196</v>
      </c>
      <c r="B206" s="1" t="s">
        <v>1360</v>
      </c>
      <c r="C206" s="1" t="s">
        <v>1233</v>
      </c>
      <c r="D206" s="1" t="s">
        <v>1759</v>
      </c>
      <c r="E206" s="1" t="s">
        <v>1760</v>
      </c>
      <c r="F206" s="1" t="s">
        <v>1761</v>
      </c>
      <c r="G206" s="1" t="s">
        <v>1207</v>
      </c>
      <c r="L206" s="15">
        <v>1899.0</v>
      </c>
    </row>
    <row r="207" ht="17.0">
      <c r="A207" s="1" t="s">
        <v>1196</v>
      </c>
      <c r="B207" s="1" t="s">
        <v>1360</v>
      </c>
      <c r="C207" s="1" t="s">
        <v>1233</v>
      </c>
      <c r="D207" s="1" t="s">
        <v>1759</v>
      </c>
      <c r="E207" s="1" t="s">
        <v>1762</v>
      </c>
      <c r="F207" s="1" t="s">
        <v>1763</v>
      </c>
      <c r="G207" s="1" t="s">
        <v>1207</v>
      </c>
    </row>
    <row r="208" ht="17.0">
      <c r="A208" s="1" t="s">
        <v>1196</v>
      </c>
      <c r="B208" s="1" t="s">
        <v>1360</v>
      </c>
      <c r="C208" s="1" t="s">
        <v>1233</v>
      </c>
      <c r="D208" s="1" t="s">
        <v>1764</v>
      </c>
      <c r="E208" s="1">
        <v>5.0083023E7</v>
      </c>
      <c r="F208" s="1" t="s">
        <v>1765</v>
      </c>
      <c r="G208" s="1" t="s">
        <v>1207</v>
      </c>
      <c r="L208" s="15">
        <v>1539.0</v>
      </c>
    </row>
    <row r="209" ht="17.0">
      <c r="A209" s="1" t="s">
        <v>1196</v>
      </c>
      <c r="B209" s="1" t="s">
        <v>1360</v>
      </c>
      <c r="C209" s="1" t="s">
        <v>1233</v>
      </c>
      <c r="D209" s="1" t="s">
        <v>1764</v>
      </c>
      <c r="E209" s="1">
        <v>5.1454021E7</v>
      </c>
      <c r="F209" s="1" t="s">
        <v>1752</v>
      </c>
      <c r="G209" s="1" t="s">
        <v>1207</v>
      </c>
    </row>
    <row r="210" ht="17.0">
      <c r="A210" s="1" t="s">
        <v>1196</v>
      </c>
      <c r="B210" s="1" t="s">
        <v>1360</v>
      </c>
      <c r="C210" s="1" t="s">
        <v>1233</v>
      </c>
      <c r="D210" s="1" t="s">
        <v>1764</v>
      </c>
      <c r="E210" s="1">
        <v>5.2458022E7</v>
      </c>
      <c r="F210" s="1" t="s">
        <v>1766</v>
      </c>
      <c r="G210" s="1" t="s">
        <v>1207</v>
      </c>
    </row>
    <row r="211" ht="17.0">
      <c r="A211" s="1" t="s">
        <v>1196</v>
      </c>
      <c r="B211" s="1" t="s">
        <v>1360</v>
      </c>
      <c r="C211" s="1" t="s">
        <v>1233</v>
      </c>
      <c r="D211" s="1" t="s">
        <v>1764</v>
      </c>
      <c r="E211" s="1">
        <v>4022.0</v>
      </c>
      <c r="F211" s="1" t="s">
        <v>1767</v>
      </c>
      <c r="G211" s="1" t="s">
        <v>1207</v>
      </c>
    </row>
    <row r="212" ht="17.0">
      <c r="A212" s="1" t="s">
        <v>1196</v>
      </c>
      <c r="B212" s="1" t="s">
        <v>1360</v>
      </c>
      <c r="C212" s="1" t="s">
        <v>1233</v>
      </c>
      <c r="D212" s="1" t="s">
        <v>1768</v>
      </c>
      <c r="E212" s="1">
        <v>5.0106023E7</v>
      </c>
      <c r="F212" s="1" t="s">
        <v>1756</v>
      </c>
      <c r="G212" s="1" t="s">
        <v>1207</v>
      </c>
      <c r="L212" s="15">
        <v>2189.0</v>
      </c>
    </row>
    <row r="213" ht="17.0">
      <c r="A213" s="1" t="s">
        <v>1196</v>
      </c>
      <c r="B213" s="1" t="s">
        <v>1360</v>
      </c>
      <c r="C213" s="1" t="s">
        <v>1233</v>
      </c>
      <c r="D213" s="1" t="s">
        <v>1768</v>
      </c>
      <c r="E213" s="1" t="s">
        <v>1769</v>
      </c>
      <c r="F213" s="1" t="s">
        <v>1770</v>
      </c>
      <c r="G213" s="1" t="s">
        <v>1207</v>
      </c>
    </row>
    <row r="214" ht="17.0">
      <c r="A214" s="1" t="s">
        <v>1196</v>
      </c>
      <c r="B214" s="1" t="s">
        <v>1360</v>
      </c>
      <c r="C214" s="1" t="s">
        <v>1233</v>
      </c>
      <c r="D214" s="1" t="s">
        <v>1768</v>
      </c>
      <c r="E214" s="1">
        <v>5.2010023E7</v>
      </c>
      <c r="F214" s="1" t="s">
        <v>1757</v>
      </c>
      <c r="G214" s="1" t="s">
        <v>1207</v>
      </c>
    </row>
    <row r="215" ht="17.0">
      <c r="A215" s="1" t="s">
        <v>1196</v>
      </c>
      <c r="B215" s="1" t="s">
        <v>1360</v>
      </c>
      <c r="C215" s="1" t="s">
        <v>1233</v>
      </c>
      <c r="D215" s="1" t="s">
        <v>1768</v>
      </c>
      <c r="E215" s="1">
        <v>5.3010022E7</v>
      </c>
      <c r="F215" s="1" t="s">
        <v>1758</v>
      </c>
      <c r="G215" s="1" t="s">
        <v>1207</v>
      </c>
    </row>
    <row r="216" ht="17.0">
      <c r="A216" s="1" t="s">
        <v>1196</v>
      </c>
      <c r="B216" s="1" t="s">
        <v>1360</v>
      </c>
      <c r="C216" s="1" t="s">
        <v>1233</v>
      </c>
      <c r="D216" s="1" t="s">
        <v>1771</v>
      </c>
      <c r="E216" s="1">
        <v>5.0106043E7</v>
      </c>
      <c r="F216" s="1" t="s">
        <v>1235</v>
      </c>
      <c r="G216" s="1" t="s">
        <v>1207</v>
      </c>
      <c r="L216" s="15">
        <v>2599.0</v>
      </c>
    </row>
    <row r="217" ht="17.0">
      <c r="A217" s="1" t="s">
        <v>1196</v>
      </c>
      <c r="B217" s="1" t="s">
        <v>1360</v>
      </c>
      <c r="C217" s="1" t="s">
        <v>1233</v>
      </c>
      <c r="D217" s="1" t="s">
        <v>1771</v>
      </c>
      <c r="E217" s="1">
        <v>5.1455042E7</v>
      </c>
      <c r="F217" s="1" t="s">
        <v>1772</v>
      </c>
      <c r="G217" s="1" t="s">
        <v>1207</v>
      </c>
    </row>
    <row r="218" ht="17.0">
      <c r="A218" s="1" t="s">
        <v>1196</v>
      </c>
      <c r="B218" s="1" t="s">
        <v>1360</v>
      </c>
      <c r="C218" s="1" t="s">
        <v>1233</v>
      </c>
      <c r="D218" s="1" t="s">
        <v>1771</v>
      </c>
      <c r="E218" s="1">
        <v>5.2010043E7</v>
      </c>
      <c r="F218" s="1" t="s">
        <v>1773</v>
      </c>
      <c r="G218" s="1" t="s">
        <v>1207</v>
      </c>
    </row>
    <row r="219" ht="17.0">
      <c r="A219" s="1" t="s">
        <v>1196</v>
      </c>
      <c r="B219" s="1" t="s">
        <v>1360</v>
      </c>
      <c r="C219" s="1" t="s">
        <v>1233</v>
      </c>
      <c r="D219" s="1" t="s">
        <v>1771</v>
      </c>
      <c r="E219" s="1">
        <v>5.3010042E7</v>
      </c>
      <c r="F219" s="1" t="s">
        <v>1238</v>
      </c>
      <c r="G219" s="1" t="s">
        <v>1207</v>
      </c>
    </row>
    <row r="220" ht="17.0">
      <c r="A220" s="1" t="s">
        <v>1196</v>
      </c>
      <c r="B220" s="1" t="s">
        <v>1360</v>
      </c>
      <c r="C220" s="1" t="s">
        <v>1233</v>
      </c>
      <c r="D220" s="1" t="s">
        <v>1774</v>
      </c>
      <c r="E220" s="1">
        <v>5.0455022E7</v>
      </c>
      <c r="F220" s="1" t="s">
        <v>1240</v>
      </c>
      <c r="G220" s="1" t="s">
        <v>1207</v>
      </c>
      <c r="L220" s="15">
        <v>2389.0</v>
      </c>
    </row>
    <row r="221" ht="17.0">
      <c r="A221" s="1" t="s">
        <v>1196</v>
      </c>
      <c r="B221" s="1" t="s">
        <v>1360</v>
      </c>
      <c r="C221" s="1" t="s">
        <v>1233</v>
      </c>
      <c r="D221" s="1" t="s">
        <v>1774</v>
      </c>
      <c r="E221" s="1" t="s">
        <v>1769</v>
      </c>
      <c r="F221" s="1" t="s">
        <v>1770</v>
      </c>
      <c r="G221" s="1" t="s">
        <v>1207</v>
      </c>
    </row>
    <row r="222" ht="17.0">
      <c r="A222" s="1" t="s">
        <v>1196</v>
      </c>
      <c r="B222" s="1" t="s">
        <v>1360</v>
      </c>
      <c r="C222" s="1" t="s">
        <v>1233</v>
      </c>
      <c r="D222" s="1" t="s">
        <v>1774</v>
      </c>
      <c r="E222" s="1">
        <v>5.3010022E7</v>
      </c>
      <c r="F222" s="1" t="s">
        <v>1775</v>
      </c>
      <c r="G222" s="1" t="s">
        <v>1207</v>
      </c>
    </row>
    <row r="223" ht="17.0">
      <c r="A223" s="1" t="s">
        <v>1196</v>
      </c>
      <c r="B223" s="1" t="s">
        <v>1360</v>
      </c>
      <c r="C223" s="1" t="s">
        <v>1233</v>
      </c>
      <c r="D223" s="1" t="s">
        <v>1774</v>
      </c>
      <c r="E223" s="1">
        <v>5.2010023E7</v>
      </c>
      <c r="F223" s="1" t="s">
        <v>1757</v>
      </c>
      <c r="G223" s="1" t="s">
        <v>1207</v>
      </c>
    </row>
    <row r="224" ht="17.0">
      <c r="A224" s="1" t="s">
        <v>1196</v>
      </c>
      <c r="B224" s="1" t="s">
        <v>1360</v>
      </c>
      <c r="C224" s="1" t="s">
        <v>1233</v>
      </c>
      <c r="D224" s="1" t="s">
        <v>1776</v>
      </c>
      <c r="E224" s="1">
        <v>5.0083023E7</v>
      </c>
      <c r="F224" s="1" t="s">
        <v>1765</v>
      </c>
      <c r="G224" s="1" t="s">
        <v>1207</v>
      </c>
      <c r="L224" s="15">
        <v>1499.0</v>
      </c>
    </row>
    <row r="225" ht="17.0">
      <c r="A225" s="1" t="s">
        <v>1196</v>
      </c>
      <c r="B225" s="1" t="s">
        <v>1360</v>
      </c>
      <c r="C225" s="1" t="s">
        <v>1233</v>
      </c>
      <c r="D225" s="1" t="s">
        <v>1776</v>
      </c>
      <c r="E225" s="1">
        <v>5.1453022E7</v>
      </c>
      <c r="F225" s="1" t="s">
        <v>1777</v>
      </c>
      <c r="G225" s="1" t="s">
        <v>1207</v>
      </c>
    </row>
    <row r="226" ht="17.0">
      <c r="A226" s="1" t="s">
        <v>1196</v>
      </c>
      <c r="B226" s="1" t="s">
        <v>1360</v>
      </c>
      <c r="C226" s="1" t="s">
        <v>1233</v>
      </c>
      <c r="D226" s="1" t="s">
        <v>1776</v>
      </c>
      <c r="E226" s="1">
        <v>5.2006023E7</v>
      </c>
      <c r="F226" s="1" t="s">
        <v>1778</v>
      </c>
      <c r="G226" s="1" t="s">
        <v>1207</v>
      </c>
    </row>
    <row r="227" ht="17.0">
      <c r="A227" s="1" t="s">
        <v>1779</v>
      </c>
      <c r="B227" s="1" t="s">
        <v>1360</v>
      </c>
      <c r="C227" s="1" t="s">
        <v>480</v>
      </c>
      <c r="D227" s="1" t="s">
        <v>1780</v>
      </c>
      <c r="E227" s="1" t="s">
        <v>1781</v>
      </c>
      <c r="F227" s="1" t="s">
        <v>1782</v>
      </c>
      <c r="G227" s="1" t="s">
        <v>1783</v>
      </c>
      <c r="H227" s="1">
        <v>1.44</v>
      </c>
      <c r="I227" s="2">
        <v>529.0</v>
      </c>
      <c r="J227" s="15">
        <f t="shared" ref="J227:J290" si="3">I227/H227</f>
        <v>367.361111111111</v>
      </c>
      <c r="K227" s="3">
        <f t="shared" ref="K227:K290" si="4">(L227/J227-1)*-1</f>
        <v>0.186086956521739</v>
      </c>
      <c r="L227" s="2">
        <v>299.0</v>
      </c>
    </row>
    <row r="228" ht="17.0">
      <c r="A228" s="1" t="s">
        <v>1779</v>
      </c>
      <c r="B228" s="1" t="s">
        <v>1360</v>
      </c>
      <c r="C228" s="1" t="s">
        <v>480</v>
      </c>
      <c r="D228" s="1" t="s">
        <v>1780</v>
      </c>
      <c r="E228" s="1" t="s">
        <v>1784</v>
      </c>
      <c r="F228" s="1" t="s">
        <v>1785</v>
      </c>
      <c r="G228" s="1" t="s">
        <v>1783</v>
      </c>
      <c r="H228" s="1">
        <v>1.44</v>
      </c>
      <c r="I228" s="2">
        <v>529.0</v>
      </c>
      <c r="J228" s="15">
        <f t="shared" si="3"/>
        <v>367.361111111111</v>
      </c>
      <c r="K228" s="3">
        <f t="shared" si="4"/>
        <v>0.240529300567106</v>
      </c>
      <c r="L228" s="2">
        <v>279.0</v>
      </c>
    </row>
    <row r="229" ht="17.0">
      <c r="A229" s="1" t="s">
        <v>1779</v>
      </c>
      <c r="B229" s="1" t="s">
        <v>1360</v>
      </c>
      <c r="C229" s="1" t="s">
        <v>480</v>
      </c>
      <c r="D229" s="1" t="s">
        <v>1780</v>
      </c>
      <c r="E229" s="1" t="s">
        <v>1786</v>
      </c>
      <c r="F229" s="1" t="s">
        <v>1787</v>
      </c>
      <c r="G229" s="1" t="s">
        <v>1783</v>
      </c>
      <c r="H229" s="1">
        <v>1.44</v>
      </c>
      <c r="I229" s="2">
        <v>529.0</v>
      </c>
      <c r="J229" s="15">
        <f t="shared" si="3"/>
        <v>367.361111111111</v>
      </c>
      <c r="K229" s="3">
        <f t="shared" si="4"/>
        <v>0.213308128544423</v>
      </c>
      <c r="L229" s="2">
        <v>289.0</v>
      </c>
    </row>
    <row r="230" ht="17.0">
      <c r="A230" s="1" t="s">
        <v>1779</v>
      </c>
      <c r="B230" s="1" t="s">
        <v>1360</v>
      </c>
      <c r="C230" s="1" t="s">
        <v>480</v>
      </c>
      <c r="D230" s="1" t="s">
        <v>1780</v>
      </c>
      <c r="E230" s="1" t="s">
        <v>1788</v>
      </c>
      <c r="F230" s="1" t="s">
        <v>1789</v>
      </c>
      <c r="G230" s="1" t="s">
        <v>1783</v>
      </c>
      <c r="H230" s="1">
        <v>1.44</v>
      </c>
      <c r="I230" s="2">
        <v>529.0</v>
      </c>
      <c r="J230" s="15">
        <f t="shared" si="3"/>
        <v>367.361111111111</v>
      </c>
      <c r="K230" s="3">
        <f t="shared" si="4"/>
        <v>0.213308128544423</v>
      </c>
      <c r="L230" s="2">
        <v>289.0</v>
      </c>
    </row>
    <row r="231" ht="17.0">
      <c r="A231" s="1" t="s">
        <v>1779</v>
      </c>
      <c r="B231" s="1" t="s">
        <v>1360</v>
      </c>
      <c r="C231" s="1" t="s">
        <v>480</v>
      </c>
      <c r="D231" s="1" t="s">
        <v>1780</v>
      </c>
      <c r="E231" s="1" t="s">
        <v>1790</v>
      </c>
      <c r="F231" s="1" t="s">
        <v>1791</v>
      </c>
      <c r="G231" s="1" t="s">
        <v>1783</v>
      </c>
      <c r="H231" s="1">
        <v>1.44</v>
      </c>
      <c r="I231" s="2">
        <v>529.0</v>
      </c>
      <c r="J231" s="15">
        <f t="shared" si="3"/>
        <v>367.361111111111</v>
      </c>
      <c r="K231" s="3">
        <f t="shared" si="4"/>
        <v>0.240529300567106</v>
      </c>
      <c r="L231" s="2">
        <v>279.0</v>
      </c>
    </row>
    <row r="232" ht="17.0">
      <c r="A232" s="1" t="s">
        <v>1779</v>
      </c>
      <c r="B232" s="1" t="s">
        <v>1360</v>
      </c>
      <c r="C232" s="1" t="s">
        <v>480</v>
      </c>
      <c r="D232" s="1" t="s">
        <v>1780</v>
      </c>
      <c r="E232" s="1" t="s">
        <v>1792</v>
      </c>
      <c r="F232" s="1" t="s">
        <v>1793</v>
      </c>
      <c r="G232" s="1" t="s">
        <v>1783</v>
      </c>
      <c r="H232" s="1">
        <v>1.44</v>
      </c>
      <c r="I232" s="2">
        <v>529.0</v>
      </c>
      <c r="J232" s="15">
        <f t="shared" si="3"/>
        <v>367.361111111111</v>
      </c>
      <c r="K232" s="3">
        <f t="shared" si="4"/>
        <v>0.213308128544423</v>
      </c>
      <c r="L232" s="2">
        <v>289.0</v>
      </c>
    </row>
    <row r="233" ht="17.0">
      <c r="A233" s="1" t="s">
        <v>1779</v>
      </c>
      <c r="B233" s="1" t="s">
        <v>1360</v>
      </c>
      <c r="C233" s="1" t="s">
        <v>480</v>
      </c>
      <c r="D233" s="1" t="s">
        <v>1780</v>
      </c>
      <c r="E233" s="1" t="s">
        <v>1794</v>
      </c>
      <c r="F233" s="1" t="s">
        <v>1795</v>
      </c>
      <c r="G233" s="1" t="s">
        <v>1783</v>
      </c>
      <c r="H233" s="1">
        <v>1.44</v>
      </c>
      <c r="I233" s="2">
        <v>529.0</v>
      </c>
      <c r="J233" s="15">
        <f t="shared" si="3"/>
        <v>367.361111111111</v>
      </c>
      <c r="K233" s="3">
        <f t="shared" si="4"/>
        <v>0.267750472589792</v>
      </c>
      <c r="L233" s="2">
        <v>269.0</v>
      </c>
    </row>
    <row r="234" ht="17.0">
      <c r="A234" s="1" t="s">
        <v>1779</v>
      </c>
      <c r="B234" s="1" t="s">
        <v>1360</v>
      </c>
      <c r="C234" s="1" t="s">
        <v>480</v>
      </c>
      <c r="D234" s="1" t="s">
        <v>1780</v>
      </c>
      <c r="E234" s="1" t="s">
        <v>1796</v>
      </c>
      <c r="F234" s="1" t="s">
        <v>1797</v>
      </c>
      <c r="G234" s="1" t="s">
        <v>1783</v>
      </c>
      <c r="H234" s="1">
        <v>1.44</v>
      </c>
      <c r="I234" s="2">
        <v>529.0</v>
      </c>
      <c r="J234" s="15">
        <f t="shared" si="3"/>
        <v>367.361111111111</v>
      </c>
      <c r="K234" s="3">
        <f t="shared" si="4"/>
        <v>0.186086956521739</v>
      </c>
      <c r="L234" s="2">
        <v>299.0</v>
      </c>
    </row>
    <row r="235" ht="17.0">
      <c r="A235" s="1" t="s">
        <v>1779</v>
      </c>
      <c r="B235" s="1" t="s">
        <v>1360</v>
      </c>
      <c r="C235" s="1" t="s">
        <v>480</v>
      </c>
      <c r="D235" s="1" t="s">
        <v>1780</v>
      </c>
      <c r="E235" s="1" t="s">
        <v>1798</v>
      </c>
      <c r="F235" s="1" t="s">
        <v>1799</v>
      </c>
      <c r="G235" s="1" t="s">
        <v>1783</v>
      </c>
      <c r="H235" s="1">
        <v>1.44</v>
      </c>
      <c r="I235" s="2">
        <v>529.0</v>
      </c>
      <c r="J235" s="15">
        <f t="shared" si="3"/>
        <v>367.361111111111</v>
      </c>
      <c r="K235" s="3">
        <f t="shared" si="4"/>
        <v>0.186086956521739</v>
      </c>
      <c r="L235" s="15">
        <v>299.0</v>
      </c>
    </row>
    <row r="236" ht="17.0">
      <c r="A236" s="1" t="s">
        <v>1779</v>
      </c>
      <c r="B236" s="1" t="s">
        <v>1360</v>
      </c>
      <c r="C236" s="1" t="s">
        <v>480</v>
      </c>
      <c r="D236" s="1" t="s">
        <v>1780</v>
      </c>
      <c r="E236" s="1" t="s">
        <v>1800</v>
      </c>
      <c r="F236" s="1" t="s">
        <v>1801</v>
      </c>
      <c r="G236" s="1" t="s">
        <v>1783</v>
      </c>
      <c r="H236" s="1">
        <v>1.63</v>
      </c>
      <c r="I236" s="2">
        <v>399.0</v>
      </c>
      <c r="J236" s="2">
        <f t="shared" si="3"/>
        <v>244.78527607362</v>
      </c>
      <c r="K236" s="3">
        <f t="shared" si="4"/>
        <v>0.26874686716792</v>
      </c>
      <c r="L236" s="2">
        <v>179.0</v>
      </c>
    </row>
    <row r="237" ht="17.0">
      <c r="A237" s="1" t="s">
        <v>1779</v>
      </c>
      <c r="B237" s="1" t="s">
        <v>1360</v>
      </c>
      <c r="C237" s="1" t="s">
        <v>480</v>
      </c>
      <c r="D237" s="1" t="s">
        <v>1780</v>
      </c>
      <c r="E237" s="1" t="s">
        <v>1802</v>
      </c>
      <c r="F237" s="1" t="s">
        <v>1803</v>
      </c>
      <c r="G237" s="1" t="s">
        <v>1783</v>
      </c>
      <c r="H237" s="1">
        <v>1.63</v>
      </c>
      <c r="I237" s="2">
        <v>399.0</v>
      </c>
      <c r="J237" s="2">
        <f t="shared" si="3"/>
        <v>244.78527607362</v>
      </c>
      <c r="K237" s="3">
        <f t="shared" si="4"/>
        <v>0.26874686716792</v>
      </c>
      <c r="L237" s="2">
        <v>179.0</v>
      </c>
    </row>
    <row r="238" ht="17.0">
      <c r="A238" s="1" t="s">
        <v>1779</v>
      </c>
      <c r="B238" s="1" t="s">
        <v>1360</v>
      </c>
      <c r="C238" s="1" t="s">
        <v>480</v>
      </c>
      <c r="D238" s="1" t="s">
        <v>1780</v>
      </c>
      <c r="E238" s="1" t="s">
        <v>1804</v>
      </c>
      <c r="F238" s="1" t="s">
        <v>1805</v>
      </c>
      <c r="G238" s="1" t="s">
        <v>1783</v>
      </c>
      <c r="H238" s="1">
        <v>1.63</v>
      </c>
      <c r="I238" s="2">
        <v>399.0</v>
      </c>
      <c r="J238" s="2">
        <f t="shared" si="3"/>
        <v>244.78527607362</v>
      </c>
      <c r="K238" s="3">
        <f t="shared" si="4"/>
        <v>0.26874686716792</v>
      </c>
      <c r="L238" s="2">
        <v>179.0</v>
      </c>
    </row>
    <row r="239" ht="17.0">
      <c r="A239" s="1" t="s">
        <v>1779</v>
      </c>
      <c r="B239" s="1" t="s">
        <v>1360</v>
      </c>
      <c r="C239" s="1" t="s">
        <v>480</v>
      </c>
      <c r="D239" s="1" t="s">
        <v>1780</v>
      </c>
      <c r="E239" s="1" t="s">
        <v>1806</v>
      </c>
      <c r="F239" s="1" t="s">
        <v>1807</v>
      </c>
      <c r="G239" s="1" t="s">
        <v>1783</v>
      </c>
      <c r="H239" s="1">
        <v>1.62</v>
      </c>
      <c r="I239" s="2">
        <v>429.0</v>
      </c>
      <c r="J239" s="2">
        <f t="shared" si="3"/>
        <v>264.814814814814</v>
      </c>
      <c r="K239" s="3">
        <f t="shared" si="4"/>
        <v>0.286293706293704</v>
      </c>
      <c r="L239" s="2">
        <v>189.0</v>
      </c>
    </row>
    <row r="240" ht="17.0">
      <c r="A240" s="1" t="s">
        <v>1779</v>
      </c>
      <c r="B240" s="1" t="s">
        <v>1360</v>
      </c>
      <c r="C240" s="1" t="s">
        <v>480</v>
      </c>
      <c r="D240" s="1" t="s">
        <v>1780</v>
      </c>
      <c r="E240" s="1" t="s">
        <v>1808</v>
      </c>
      <c r="F240" s="1" t="s">
        <v>1809</v>
      </c>
      <c r="G240" s="1" t="s">
        <v>1783</v>
      </c>
      <c r="H240" s="1">
        <v>1.62</v>
      </c>
      <c r="I240" s="2">
        <v>429.0</v>
      </c>
      <c r="J240" s="2">
        <f t="shared" si="3"/>
        <v>264.814814814814</v>
      </c>
      <c r="K240" s="3">
        <f t="shared" si="4"/>
        <v>0.286293706293704</v>
      </c>
      <c r="L240" s="2">
        <v>189.0</v>
      </c>
    </row>
    <row r="241" ht="17.0">
      <c r="A241" s="1" t="s">
        <v>1779</v>
      </c>
      <c r="B241" s="1" t="s">
        <v>1360</v>
      </c>
      <c r="C241" s="1" t="s">
        <v>480</v>
      </c>
      <c r="D241" s="1" t="s">
        <v>1780</v>
      </c>
      <c r="E241" s="1" t="s">
        <v>1810</v>
      </c>
      <c r="F241" s="1" t="s">
        <v>1811</v>
      </c>
      <c r="G241" s="1" t="s">
        <v>1783</v>
      </c>
      <c r="H241" s="1">
        <v>1.62</v>
      </c>
      <c r="I241" s="2">
        <v>429.0</v>
      </c>
      <c r="J241" s="2">
        <f t="shared" si="3"/>
        <v>264.814814814814</v>
      </c>
      <c r="K241" s="3">
        <f t="shared" si="4"/>
        <v>0.286293706293704</v>
      </c>
      <c r="L241" s="2">
        <v>189.0</v>
      </c>
    </row>
    <row r="242" ht="17.0">
      <c r="A242" s="1" t="s">
        <v>1779</v>
      </c>
      <c r="B242" s="1" t="s">
        <v>1360</v>
      </c>
      <c r="C242" s="1" t="s">
        <v>480</v>
      </c>
      <c r="D242" s="1" t="s">
        <v>1780</v>
      </c>
      <c r="E242" s="1" t="s">
        <v>1812</v>
      </c>
      <c r="F242" s="1" t="s">
        <v>1813</v>
      </c>
      <c r="G242" s="1" t="s">
        <v>1783</v>
      </c>
      <c r="H242" s="1">
        <v>1.62</v>
      </c>
      <c r="I242" s="2">
        <v>429.0</v>
      </c>
      <c r="J242" s="2">
        <f t="shared" si="3"/>
        <v>264.814814814814</v>
      </c>
      <c r="K242" s="3">
        <f t="shared" si="4"/>
        <v>0.286293706293704</v>
      </c>
      <c r="L242" s="2">
        <v>189.0</v>
      </c>
    </row>
    <row r="243" ht="17.0">
      <c r="A243" s="1" t="s">
        <v>1779</v>
      </c>
      <c r="B243" s="1" t="s">
        <v>1360</v>
      </c>
      <c r="C243" s="1" t="s">
        <v>480</v>
      </c>
      <c r="D243" s="1" t="s">
        <v>1780</v>
      </c>
      <c r="E243" s="1" t="s">
        <v>1814</v>
      </c>
      <c r="F243" s="1" t="s">
        <v>1815</v>
      </c>
      <c r="G243" s="1" t="s">
        <v>1783</v>
      </c>
      <c r="H243" s="1">
        <v>1.44</v>
      </c>
      <c r="I243" s="2">
        <v>429.0</v>
      </c>
      <c r="J243" s="2">
        <f t="shared" si="3"/>
        <v>297.916666666667</v>
      </c>
      <c r="K243" s="3">
        <f t="shared" si="4"/>
        <v>0.264895104895106</v>
      </c>
      <c r="L243" s="2">
        <v>219.0</v>
      </c>
    </row>
    <row r="244" ht="17.0">
      <c r="A244" s="1" t="s">
        <v>1779</v>
      </c>
      <c r="B244" s="1" t="s">
        <v>1360</v>
      </c>
      <c r="C244" s="1" t="s">
        <v>480</v>
      </c>
      <c r="D244" s="1" t="s">
        <v>1780</v>
      </c>
      <c r="E244" s="1" t="s">
        <v>1816</v>
      </c>
      <c r="F244" s="1" t="s">
        <v>1817</v>
      </c>
      <c r="G244" s="1" t="s">
        <v>1783</v>
      </c>
      <c r="H244" s="1">
        <v>1.44</v>
      </c>
      <c r="I244" s="2">
        <v>429.0</v>
      </c>
      <c r="J244" s="2">
        <f t="shared" si="3"/>
        <v>297.916666666667</v>
      </c>
      <c r="K244" s="3">
        <f t="shared" si="4"/>
        <v>0.264895104895106</v>
      </c>
      <c r="L244" s="2">
        <v>219.0</v>
      </c>
    </row>
    <row r="245" ht="17.0">
      <c r="A245" s="1" t="s">
        <v>1779</v>
      </c>
      <c r="B245" s="1" t="s">
        <v>1360</v>
      </c>
      <c r="C245" s="1" t="s">
        <v>480</v>
      </c>
      <c r="D245" s="1" t="s">
        <v>1780</v>
      </c>
      <c r="E245" s="1" t="s">
        <v>1818</v>
      </c>
      <c r="F245" s="1" t="s">
        <v>1819</v>
      </c>
      <c r="G245" s="1" t="s">
        <v>1783</v>
      </c>
      <c r="H245" s="1">
        <v>1.44</v>
      </c>
      <c r="I245" s="2">
        <v>429.0</v>
      </c>
      <c r="J245" s="2">
        <f t="shared" si="3"/>
        <v>297.916666666667</v>
      </c>
      <c r="K245" s="3">
        <f t="shared" si="4"/>
        <v>0.264895104895106</v>
      </c>
      <c r="L245" s="2">
        <v>219.0</v>
      </c>
    </row>
    <row r="246" ht="17.0">
      <c r="A246" s="1" t="s">
        <v>1779</v>
      </c>
      <c r="B246" s="1" t="s">
        <v>1360</v>
      </c>
      <c r="C246" s="1" t="s">
        <v>480</v>
      </c>
      <c r="D246" s="1" t="s">
        <v>1780</v>
      </c>
      <c r="E246" s="1" t="s">
        <v>1820</v>
      </c>
      <c r="F246" s="1" t="s">
        <v>1821</v>
      </c>
      <c r="G246" s="1" t="s">
        <v>1783</v>
      </c>
      <c r="H246" s="1">
        <v>1.44</v>
      </c>
      <c r="I246" s="2">
        <v>429.0</v>
      </c>
      <c r="J246" s="2">
        <f t="shared" si="3"/>
        <v>297.916666666667</v>
      </c>
      <c r="K246" s="3">
        <f t="shared" si="4"/>
        <v>0.264895104895106</v>
      </c>
      <c r="L246" s="2">
        <v>219.0</v>
      </c>
    </row>
    <row r="247" ht="17.0">
      <c r="A247" s="1" t="s">
        <v>1779</v>
      </c>
      <c r="B247" s="1" t="s">
        <v>1360</v>
      </c>
      <c r="C247" s="1" t="s">
        <v>480</v>
      </c>
      <c r="D247" s="1" t="s">
        <v>1780</v>
      </c>
      <c r="E247" s="1" t="s">
        <v>1822</v>
      </c>
      <c r="F247" s="1" t="s">
        <v>1823</v>
      </c>
      <c r="G247" s="1" t="s">
        <v>1783</v>
      </c>
      <c r="H247" s="1">
        <v>1.44</v>
      </c>
      <c r="I247" s="2">
        <v>429.0</v>
      </c>
      <c r="J247" s="2">
        <f t="shared" si="3"/>
        <v>297.916666666667</v>
      </c>
      <c r="K247" s="3">
        <f t="shared" si="4"/>
        <v>0.231328671328671</v>
      </c>
      <c r="L247" s="2">
        <v>229.0</v>
      </c>
    </row>
    <row r="248" ht="17.0">
      <c r="A248" s="1" t="s">
        <v>1779</v>
      </c>
      <c r="B248" s="1" t="s">
        <v>1360</v>
      </c>
      <c r="C248" s="1" t="s">
        <v>480</v>
      </c>
      <c r="D248" s="1" t="s">
        <v>1780</v>
      </c>
      <c r="E248" s="1" t="s">
        <v>1824</v>
      </c>
      <c r="F248" s="1" t="s">
        <v>1825</v>
      </c>
      <c r="G248" s="1" t="s">
        <v>1783</v>
      </c>
      <c r="H248" s="1">
        <v>1.44</v>
      </c>
      <c r="I248" s="2">
        <v>429.0</v>
      </c>
      <c r="J248" s="2">
        <f t="shared" si="3"/>
        <v>297.916666666667</v>
      </c>
      <c r="K248" s="3">
        <f t="shared" si="4"/>
        <v>0.231328671328671</v>
      </c>
      <c r="L248" s="2">
        <v>229.0</v>
      </c>
    </row>
    <row r="249" ht="17.0">
      <c r="A249" s="1" t="s">
        <v>1779</v>
      </c>
      <c r="B249" s="1" t="s">
        <v>1360</v>
      </c>
      <c r="C249" s="1" t="s">
        <v>480</v>
      </c>
      <c r="D249" s="1" t="s">
        <v>1780</v>
      </c>
      <c r="E249" s="1" t="s">
        <v>1826</v>
      </c>
      <c r="F249" s="1" t="s">
        <v>1827</v>
      </c>
      <c r="G249" s="1" t="s">
        <v>1783</v>
      </c>
      <c r="H249" s="1">
        <v>1.62</v>
      </c>
      <c r="I249" s="2">
        <v>429.0</v>
      </c>
      <c r="J249" s="2">
        <f t="shared" si="3"/>
        <v>264.814814814814</v>
      </c>
      <c r="K249" s="3">
        <f t="shared" si="4"/>
        <v>0.286293706293704</v>
      </c>
      <c r="L249" s="2">
        <v>189.0</v>
      </c>
    </row>
    <row r="250" ht="17.0">
      <c r="A250" s="1" t="s">
        <v>1779</v>
      </c>
      <c r="B250" s="1" t="s">
        <v>1360</v>
      </c>
      <c r="C250" s="1" t="s">
        <v>480</v>
      </c>
      <c r="D250" s="1" t="s">
        <v>1780</v>
      </c>
      <c r="E250" s="1" t="s">
        <v>1828</v>
      </c>
      <c r="F250" s="1" t="s">
        <v>1829</v>
      </c>
      <c r="G250" s="1" t="s">
        <v>1783</v>
      </c>
      <c r="H250" s="1">
        <v>1.62</v>
      </c>
      <c r="I250" s="2">
        <v>429.0</v>
      </c>
      <c r="J250" s="2">
        <f t="shared" si="3"/>
        <v>264.814814814814</v>
      </c>
      <c r="K250" s="3">
        <f t="shared" si="4"/>
        <v>0.286293706293704</v>
      </c>
      <c r="L250" s="2">
        <v>189.0</v>
      </c>
    </row>
    <row r="251" ht="17.0">
      <c r="A251" s="1" t="s">
        <v>1779</v>
      </c>
      <c r="B251" s="1" t="s">
        <v>1360</v>
      </c>
      <c r="C251" s="1" t="s">
        <v>480</v>
      </c>
      <c r="D251" s="1" t="s">
        <v>1780</v>
      </c>
      <c r="E251" s="1" t="s">
        <v>1830</v>
      </c>
      <c r="F251" s="1" t="s">
        <v>1831</v>
      </c>
      <c r="G251" s="1" t="s">
        <v>1783</v>
      </c>
      <c r="H251" s="1">
        <v>1.62</v>
      </c>
      <c r="I251" s="2">
        <v>429.0</v>
      </c>
      <c r="J251" s="2">
        <f t="shared" si="3"/>
        <v>264.814814814814</v>
      </c>
      <c r="K251" s="3">
        <f t="shared" si="4"/>
        <v>0.286293706293704</v>
      </c>
      <c r="L251" s="2">
        <v>189.0</v>
      </c>
    </row>
    <row r="252" ht="17.0">
      <c r="A252" s="1" t="s">
        <v>1779</v>
      </c>
      <c r="B252" s="1" t="s">
        <v>1360</v>
      </c>
      <c r="C252" s="1" t="s">
        <v>480</v>
      </c>
      <c r="D252" s="1" t="s">
        <v>1780</v>
      </c>
      <c r="E252" s="1" t="s">
        <v>1832</v>
      </c>
      <c r="F252" s="1" t="s">
        <v>1833</v>
      </c>
      <c r="G252" s="1" t="s">
        <v>1783</v>
      </c>
      <c r="H252" s="1">
        <v>1.62</v>
      </c>
      <c r="I252" s="2">
        <v>429.0</v>
      </c>
      <c r="J252" s="2">
        <f t="shared" si="3"/>
        <v>264.814814814814</v>
      </c>
      <c r="K252" s="3">
        <f t="shared" si="4"/>
        <v>0.286293706293704</v>
      </c>
      <c r="L252" s="2">
        <v>189.0</v>
      </c>
    </row>
    <row r="253" ht="17.0">
      <c r="A253" s="1" t="s">
        <v>1779</v>
      </c>
      <c r="B253" s="1" t="s">
        <v>1360</v>
      </c>
      <c r="C253" s="1" t="s">
        <v>480</v>
      </c>
      <c r="D253" s="1" t="s">
        <v>1780</v>
      </c>
      <c r="E253" s="1" t="s">
        <v>1834</v>
      </c>
      <c r="F253" s="1" t="s">
        <v>1835</v>
      </c>
      <c r="G253" s="1" t="s">
        <v>1783</v>
      </c>
      <c r="H253" s="1">
        <v>1.44</v>
      </c>
      <c r="I253" s="2">
        <v>281.0</v>
      </c>
      <c r="J253" s="2">
        <f t="shared" si="3"/>
        <v>195.138888888889</v>
      </c>
      <c r="K253" s="3">
        <f t="shared" si="4"/>
        <v>7.117437722430342E-4</v>
      </c>
      <c r="L253" s="2">
        <v>195.0</v>
      </c>
    </row>
    <row r="254" ht="17.0">
      <c r="A254" s="1" t="s">
        <v>1779</v>
      </c>
      <c r="B254" s="1" t="s">
        <v>1360</v>
      </c>
      <c r="C254" s="1" t="s">
        <v>480</v>
      </c>
      <c r="D254" s="1" t="s">
        <v>1780</v>
      </c>
      <c r="E254" s="1" t="s">
        <v>1836</v>
      </c>
      <c r="F254" s="1" t="s">
        <v>1837</v>
      </c>
      <c r="G254" s="1" t="s">
        <v>1783</v>
      </c>
      <c r="H254" s="1">
        <v>1.44</v>
      </c>
      <c r="I254" s="2">
        <v>281.0</v>
      </c>
      <c r="J254" s="2">
        <f t="shared" si="3"/>
        <v>195.138888888889</v>
      </c>
      <c r="K254" s="3">
        <f t="shared" si="4"/>
        <v>7.117437722430342E-4</v>
      </c>
      <c r="L254" s="2">
        <v>195.0</v>
      </c>
    </row>
    <row r="255" ht="17.0">
      <c r="A255" s="1" t="s">
        <v>1779</v>
      </c>
      <c r="B255" s="1" t="s">
        <v>1360</v>
      </c>
      <c r="C255" s="1" t="s">
        <v>480</v>
      </c>
      <c r="D255" s="1" t="s">
        <v>1780</v>
      </c>
      <c r="E255" s="1" t="s">
        <v>1838</v>
      </c>
      <c r="F255" s="1" t="s">
        <v>1839</v>
      </c>
      <c r="G255" s="1" t="s">
        <v>1783</v>
      </c>
      <c r="H255" s="1">
        <v>1.62</v>
      </c>
      <c r="I255" s="2">
        <v>290.0</v>
      </c>
      <c r="J255" s="2">
        <f t="shared" si="3"/>
        <v>179.012345679012</v>
      </c>
      <c r="K255" s="3">
        <f t="shared" si="4"/>
        <v>6.896551724000499E-5</v>
      </c>
      <c r="L255" s="2">
        <v>179.0</v>
      </c>
    </row>
    <row r="256" ht="17.0">
      <c r="A256" s="1" t="s">
        <v>1779</v>
      </c>
      <c r="B256" s="1" t="s">
        <v>1360</v>
      </c>
      <c r="C256" s="1" t="s">
        <v>480</v>
      </c>
      <c r="D256" s="1" t="s">
        <v>1780</v>
      </c>
      <c r="E256" s="1" t="s">
        <v>1840</v>
      </c>
      <c r="F256" s="1" t="s">
        <v>1841</v>
      </c>
      <c r="G256" s="1" t="s">
        <v>1783</v>
      </c>
      <c r="H256" s="1">
        <v>1.62</v>
      </c>
      <c r="I256" s="2">
        <v>290.0</v>
      </c>
      <c r="J256" s="2">
        <f t="shared" si="3"/>
        <v>179.012345679012</v>
      </c>
      <c r="K256" s="3">
        <f t="shared" si="4"/>
        <v>6.896551724000499E-5</v>
      </c>
      <c r="L256" s="2">
        <v>179.0</v>
      </c>
    </row>
    <row r="257" ht="17.0">
      <c r="A257" s="1" t="s">
        <v>1779</v>
      </c>
      <c r="B257" s="1" t="s">
        <v>1360</v>
      </c>
      <c r="C257" s="1" t="s">
        <v>480</v>
      </c>
      <c r="D257" s="1" t="s">
        <v>1780</v>
      </c>
      <c r="E257" s="1" t="s">
        <v>1842</v>
      </c>
      <c r="F257" s="1" t="s">
        <v>1843</v>
      </c>
      <c r="G257" s="1" t="s">
        <v>1783</v>
      </c>
      <c r="H257" s="1">
        <v>1.62</v>
      </c>
      <c r="I257" s="2">
        <v>290.0</v>
      </c>
      <c r="J257" s="2">
        <f t="shared" si="3"/>
        <v>179.012345679012</v>
      </c>
      <c r="K257" s="3">
        <f t="shared" si="4"/>
        <v>6.896551724000499E-5</v>
      </c>
      <c r="L257" s="2">
        <v>179.0</v>
      </c>
    </row>
    <row r="258" ht="17.0">
      <c r="A258" s="1" t="s">
        <v>1779</v>
      </c>
      <c r="B258" s="1" t="s">
        <v>1360</v>
      </c>
      <c r="C258" s="1" t="s">
        <v>480</v>
      </c>
      <c r="D258" s="1" t="s">
        <v>1780</v>
      </c>
      <c r="E258" s="1" t="s">
        <v>1844</v>
      </c>
      <c r="F258" s="1" t="s">
        <v>1845</v>
      </c>
      <c r="G258" s="1" t="s">
        <v>1783</v>
      </c>
      <c r="H258" s="1">
        <v>1.75</v>
      </c>
      <c r="I258" s="2">
        <v>314.0</v>
      </c>
      <c r="J258" s="2">
        <f t="shared" si="3"/>
        <v>179.428571428571</v>
      </c>
      <c r="K258" s="3">
        <f t="shared" si="4"/>
        <v>0.00238853503184498</v>
      </c>
      <c r="L258" s="2">
        <v>179.0</v>
      </c>
    </row>
    <row r="259" ht="17.0">
      <c r="A259" s="1" t="s">
        <v>1779</v>
      </c>
      <c r="B259" s="1" t="s">
        <v>1360</v>
      </c>
      <c r="C259" s="1" t="s">
        <v>480</v>
      </c>
      <c r="D259" s="1" t="s">
        <v>1780</v>
      </c>
      <c r="E259" s="1" t="s">
        <v>1846</v>
      </c>
      <c r="F259" s="1" t="s">
        <v>1847</v>
      </c>
      <c r="G259" s="1" t="s">
        <v>1783</v>
      </c>
      <c r="H259" s="1">
        <v>1.75</v>
      </c>
      <c r="I259" s="2">
        <v>314.0</v>
      </c>
      <c r="J259" s="2">
        <f t="shared" si="3"/>
        <v>179.428571428571</v>
      </c>
      <c r="K259" s="3">
        <f t="shared" si="4"/>
        <v>0.00238853503184498</v>
      </c>
      <c r="L259" s="2">
        <v>179.0</v>
      </c>
    </row>
    <row r="260" ht="17.0">
      <c r="A260" s="1" t="s">
        <v>1779</v>
      </c>
      <c r="B260" s="1" t="s">
        <v>1360</v>
      </c>
      <c r="C260" s="1" t="s">
        <v>480</v>
      </c>
      <c r="D260" s="1" t="s">
        <v>1780</v>
      </c>
      <c r="E260" s="1" t="s">
        <v>1848</v>
      </c>
      <c r="F260" s="1" t="s">
        <v>1849</v>
      </c>
      <c r="G260" s="1" t="s">
        <v>1783</v>
      </c>
      <c r="H260" s="1">
        <v>1.42</v>
      </c>
      <c r="I260" s="2">
        <v>255.0</v>
      </c>
      <c r="J260" s="2">
        <f t="shared" si="3"/>
        <v>179.577464788732</v>
      </c>
      <c r="K260" s="3">
        <f t="shared" si="4"/>
        <v>0.00321568627450795</v>
      </c>
      <c r="L260" s="2">
        <v>179.0</v>
      </c>
    </row>
    <row r="261" ht="17.0">
      <c r="A261" s="1" t="s">
        <v>1779</v>
      </c>
      <c r="B261" s="1" t="s">
        <v>1360</v>
      </c>
      <c r="C261" s="1" t="s">
        <v>480</v>
      </c>
      <c r="D261" s="1" t="s">
        <v>1780</v>
      </c>
      <c r="E261" s="1" t="s">
        <v>1850</v>
      </c>
      <c r="F261" s="1" t="s">
        <v>1851</v>
      </c>
      <c r="G261" s="1" t="s">
        <v>1783</v>
      </c>
      <c r="H261" s="1">
        <v>1.44</v>
      </c>
      <c r="I261" s="2">
        <v>429.0</v>
      </c>
      <c r="J261" s="2">
        <f t="shared" si="3"/>
        <v>297.916666666667</v>
      </c>
      <c r="K261" s="3">
        <f t="shared" si="4"/>
        <v>0.332027972027972</v>
      </c>
      <c r="L261" s="15">
        <v>199.0</v>
      </c>
    </row>
    <row r="262" ht="17.0">
      <c r="A262" s="1" t="s">
        <v>1779</v>
      </c>
      <c r="B262" s="1" t="s">
        <v>1360</v>
      </c>
      <c r="C262" s="1" t="s">
        <v>480</v>
      </c>
      <c r="D262" s="1" t="s">
        <v>1780</v>
      </c>
      <c r="E262" s="1" t="s">
        <v>1852</v>
      </c>
      <c r="F262" s="1" t="s">
        <v>1853</v>
      </c>
      <c r="G262" s="1" t="s">
        <v>1783</v>
      </c>
      <c r="H262" s="1">
        <v>1.44</v>
      </c>
      <c r="I262" s="2">
        <v>429.0</v>
      </c>
      <c r="J262" s="2">
        <f t="shared" si="3"/>
        <v>297.916666666667</v>
      </c>
      <c r="K262" s="3">
        <f t="shared" si="4"/>
        <v>0.332027972027972</v>
      </c>
      <c r="L262" s="15">
        <v>199.0</v>
      </c>
    </row>
    <row r="263" ht="17.0">
      <c r="A263" s="13" t="s">
        <v>92</v>
      </c>
      <c r="B263" s="1" t="s">
        <v>1854</v>
      </c>
      <c r="C263" s="13" t="s">
        <v>480</v>
      </c>
      <c r="D263" s="13" t="s">
        <v>481</v>
      </c>
      <c r="E263" s="13" t="s">
        <v>1855</v>
      </c>
      <c r="F263" s="13" t="s">
        <v>1856</v>
      </c>
      <c r="G263" s="13" t="s">
        <v>24</v>
      </c>
      <c r="H263" s="1">
        <v>1.8</v>
      </c>
      <c r="I263" s="38">
        <v>409.0</v>
      </c>
      <c r="J263" s="2">
        <f t="shared" si="3"/>
        <v>227.222222222222</v>
      </c>
      <c r="K263" s="3">
        <f t="shared" si="4"/>
        <v>0.185819070904645</v>
      </c>
      <c r="L263" s="15">
        <v>185.0</v>
      </c>
    </row>
    <row r="264" ht="17.0">
      <c r="A264" s="13" t="s">
        <v>92</v>
      </c>
      <c r="B264" s="1" t="s">
        <v>1854</v>
      </c>
      <c r="C264" s="13" t="s">
        <v>480</v>
      </c>
      <c r="D264" s="13" t="s">
        <v>481</v>
      </c>
      <c r="E264" s="13" t="s">
        <v>1857</v>
      </c>
      <c r="F264" s="13" t="s">
        <v>1858</v>
      </c>
      <c r="G264" s="13" t="s">
        <v>24</v>
      </c>
      <c r="H264" s="1">
        <v>1.8</v>
      </c>
      <c r="I264" s="38">
        <v>409.0</v>
      </c>
      <c r="J264" s="2">
        <f t="shared" si="3"/>
        <v>227.222222222222</v>
      </c>
      <c r="K264" s="3">
        <f t="shared" si="4"/>
        <v>0.185819070904645</v>
      </c>
      <c r="L264" s="15">
        <v>185.0</v>
      </c>
    </row>
    <row r="265" ht="17.0">
      <c r="A265" s="13" t="s">
        <v>92</v>
      </c>
      <c r="B265" s="1" t="s">
        <v>1360</v>
      </c>
      <c r="C265" s="13" t="s">
        <v>480</v>
      </c>
      <c r="D265" s="13" t="s">
        <v>481</v>
      </c>
      <c r="E265" s="13" t="s">
        <v>1859</v>
      </c>
      <c r="F265" s="13" t="s">
        <v>1860</v>
      </c>
      <c r="G265" s="1" t="s">
        <v>24</v>
      </c>
      <c r="H265" s="1">
        <v>1.76</v>
      </c>
      <c r="I265" s="2">
        <v>629.0</v>
      </c>
      <c r="J265" s="2">
        <f t="shared" si="3"/>
        <v>357.386363636363</v>
      </c>
      <c r="K265" s="3">
        <f t="shared" si="4"/>
        <v>0.303275039745627</v>
      </c>
      <c r="L265" s="15">
        <v>249.0</v>
      </c>
    </row>
    <row r="266" ht="17.0">
      <c r="A266" s="1" t="s">
        <v>369</v>
      </c>
      <c r="B266" s="1" t="s">
        <v>1360</v>
      </c>
      <c r="C266" s="13" t="s">
        <v>480</v>
      </c>
      <c r="D266" s="1" t="s">
        <v>370</v>
      </c>
      <c r="E266" s="1" t="s">
        <v>1861</v>
      </c>
      <c r="F266" s="1" t="s">
        <v>1862</v>
      </c>
      <c r="G266" s="1" t="s">
        <v>24</v>
      </c>
      <c r="H266" s="1">
        <v>1.92</v>
      </c>
      <c r="I266" s="2">
        <v>1099.0</v>
      </c>
      <c r="J266" s="2">
        <f t="shared" si="3"/>
        <v>572.395833333333</v>
      </c>
      <c r="K266" s="3">
        <f t="shared" si="4"/>
        <v>0.320400363967243</v>
      </c>
      <c r="L266" s="15">
        <v>389.0</v>
      </c>
    </row>
    <row r="267" ht="17.0">
      <c r="A267" s="11" t="s">
        <v>1282</v>
      </c>
      <c r="B267" s="1" t="s">
        <v>1360</v>
      </c>
      <c r="C267" s="11" t="s">
        <v>1289</v>
      </c>
      <c r="D267" s="11" t="s">
        <v>1290</v>
      </c>
      <c r="E267" s="11" t="s">
        <v>1863</v>
      </c>
      <c r="F267" s="11" t="s">
        <v>1864</v>
      </c>
      <c r="G267" s="11" t="s">
        <v>1286</v>
      </c>
      <c r="H267" s="11">
        <v>1.0</v>
      </c>
      <c r="I267" s="30">
        <v>8859.0</v>
      </c>
      <c r="J267" s="30">
        <f t="shared" si="3"/>
        <v>8859.0</v>
      </c>
      <c r="K267" s="3">
        <f t="shared" si="4"/>
        <v>0.221243932723783</v>
      </c>
      <c r="L267" s="30">
        <v>6899.0</v>
      </c>
      <c r="M267" s="11" t="s">
        <v>1865</v>
      </c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</row>
    <row r="268" ht="17.0">
      <c r="A268" s="11" t="s">
        <v>1282</v>
      </c>
      <c r="B268" s="1" t="s">
        <v>1360</v>
      </c>
      <c r="C268" s="11" t="s">
        <v>1289</v>
      </c>
      <c r="D268" s="11" t="s">
        <v>1290</v>
      </c>
      <c r="E268" s="11" t="s">
        <v>1866</v>
      </c>
      <c r="F268" s="11" t="s">
        <v>1867</v>
      </c>
      <c r="G268" s="11" t="s">
        <v>1286</v>
      </c>
      <c r="H268" s="11">
        <v>1.0</v>
      </c>
      <c r="I268" s="30">
        <v>7299.0</v>
      </c>
      <c r="J268" s="30">
        <f t="shared" si="3"/>
        <v>7299.0</v>
      </c>
      <c r="K268" s="3">
        <f t="shared" si="4"/>
        <v>0.506918755993972</v>
      </c>
      <c r="L268" s="30">
        <v>3599.0</v>
      </c>
      <c r="M268" s="11" t="s">
        <v>1868</v>
      </c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7.0" customFormat="1" s="11">
      <c r="A269" s="1" t="s">
        <v>1323</v>
      </c>
      <c r="B269" s="1" t="s">
        <v>1360</v>
      </c>
      <c r="C269" s="1" t="s">
        <v>1324</v>
      </c>
      <c r="D269" s="1" t="s">
        <v>1325</v>
      </c>
      <c r="E269" s="11" t="s">
        <v>1869</v>
      </c>
      <c r="F269" s="11" t="s">
        <v>1870</v>
      </c>
      <c r="G269" s="1" t="s">
        <v>939</v>
      </c>
      <c r="H269" s="11">
        <v>1.0</v>
      </c>
      <c r="I269" s="30">
        <v>2950.0</v>
      </c>
      <c r="J269" s="30">
        <f t="shared" si="3"/>
        <v>2950.0</v>
      </c>
      <c r="K269" s="3">
        <f t="shared" si="4"/>
        <v>0.254576271186441</v>
      </c>
      <c r="L269" s="30">
        <v>2199.0</v>
      </c>
      <c r="M269" s="11" t="s">
        <v>1865</v>
      </c>
    </row>
    <row r="270" ht="17.0" customFormat="1" s="11">
      <c r="A270" s="1" t="s">
        <v>1323</v>
      </c>
      <c r="B270" s="1" t="s">
        <v>1360</v>
      </c>
      <c r="C270" s="1" t="s">
        <v>1324</v>
      </c>
      <c r="D270" s="1" t="s">
        <v>1325</v>
      </c>
      <c r="E270" s="11" t="s">
        <v>1871</v>
      </c>
      <c r="F270" s="11" t="s">
        <v>1872</v>
      </c>
      <c r="G270" s="1" t="s">
        <v>939</v>
      </c>
      <c r="H270" s="11">
        <v>1.0</v>
      </c>
      <c r="I270" s="30">
        <v>3600.0</v>
      </c>
      <c r="J270" s="30">
        <f t="shared" si="3"/>
        <v>3600.0</v>
      </c>
      <c r="K270" s="3">
        <f t="shared" si="4"/>
        <v>0.444722222222222</v>
      </c>
      <c r="L270" s="30">
        <v>1999.0</v>
      </c>
      <c r="M270" s="11" t="s">
        <v>1868</v>
      </c>
    </row>
    <row r="271" ht="17.0" customFormat="1" s="11">
      <c r="A271" s="1" t="s">
        <v>1323</v>
      </c>
      <c r="B271" s="1" t="s">
        <v>1360</v>
      </c>
      <c r="C271" s="1" t="s">
        <v>1324</v>
      </c>
      <c r="D271" s="1" t="s">
        <v>1325</v>
      </c>
      <c r="E271" s="11" t="s">
        <v>1873</v>
      </c>
      <c r="F271" s="11" t="s">
        <v>1874</v>
      </c>
      <c r="G271" s="1" t="s">
        <v>939</v>
      </c>
      <c r="H271" s="11">
        <v>1.0</v>
      </c>
      <c r="I271" s="30">
        <v>2600.0</v>
      </c>
      <c r="J271" s="30">
        <f t="shared" si="3"/>
        <v>2600.0</v>
      </c>
      <c r="K271" s="3">
        <f t="shared" si="4"/>
        <v>0.154230769230768</v>
      </c>
      <c r="L271" s="30">
        <v>2199.0</v>
      </c>
      <c r="M271" s="11" t="s">
        <v>1865</v>
      </c>
    </row>
    <row r="272" ht="17.0" customFormat="1" s="11">
      <c r="A272" s="1" t="s">
        <v>1323</v>
      </c>
      <c r="B272" s="1" t="s">
        <v>1360</v>
      </c>
      <c r="C272" s="1" t="s">
        <v>1324</v>
      </c>
      <c r="D272" s="1" t="s">
        <v>1325</v>
      </c>
      <c r="E272" s="11" t="s">
        <v>1875</v>
      </c>
      <c r="F272" s="11" t="s">
        <v>1876</v>
      </c>
      <c r="G272" s="1" t="s">
        <v>939</v>
      </c>
      <c r="H272" s="11">
        <v>1.0</v>
      </c>
      <c r="I272" s="30">
        <v>2400.0</v>
      </c>
      <c r="J272" s="30">
        <f t="shared" si="3"/>
        <v>2400.0</v>
      </c>
      <c r="K272" s="3">
        <f t="shared" si="4"/>
        <v>0.20875</v>
      </c>
      <c r="L272" s="30">
        <v>1899.0</v>
      </c>
      <c r="M272" s="11" t="s">
        <v>1865</v>
      </c>
    </row>
    <row r="273" ht="17.0">
      <c r="A273" s="1" t="s">
        <v>92</v>
      </c>
      <c r="B273" s="1" t="s">
        <v>1360</v>
      </c>
      <c r="C273" s="1" t="s">
        <v>21</v>
      </c>
      <c r="D273" s="1" t="s">
        <v>93</v>
      </c>
      <c r="E273" s="1" t="s">
        <v>1877</v>
      </c>
      <c r="F273" s="1" t="s">
        <v>1878</v>
      </c>
      <c r="G273" s="1" t="s">
        <v>24</v>
      </c>
      <c r="H273" s="1">
        <v>1.83</v>
      </c>
      <c r="I273" s="2">
        <v>629.0</v>
      </c>
      <c r="J273" s="2">
        <f t="shared" si="3"/>
        <v>343.71584699453</v>
      </c>
      <c r="K273" s="3">
        <f t="shared" si="4"/>
        <v>0.304658187599353</v>
      </c>
      <c r="L273" s="2">
        <v>239.0</v>
      </c>
      <c r="M273" s="2"/>
    </row>
    <row r="274" customHeight="1" ht="14.0" customFormat="1" s="17">
      <c r="A274" s="1" t="s">
        <v>1879</v>
      </c>
      <c r="B274" s="1" t="s">
        <v>1360</v>
      </c>
      <c r="C274" s="1" t="s">
        <v>1880</v>
      </c>
      <c r="D274" s="1" t="s">
        <v>1881</v>
      </c>
      <c r="E274" s="39">
        <v>5.0204030011E10</v>
      </c>
      <c r="F274" s="17" t="s">
        <v>1882</v>
      </c>
      <c r="G274" s="1" t="s">
        <v>939</v>
      </c>
      <c r="H274" s="11">
        <v>1.0</v>
      </c>
      <c r="I274" s="23">
        <v>3170.51</v>
      </c>
      <c r="J274" s="15">
        <f t="shared" si="3"/>
        <v>3170.51</v>
      </c>
      <c r="K274" s="3">
        <f t="shared" si="4"/>
        <v>0.180258065737059</v>
      </c>
      <c r="L274" s="15">
        <v>2599.0</v>
      </c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customHeight="1" ht="14.0" customFormat="1" s="17">
      <c r="A275" s="1" t="s">
        <v>1879</v>
      </c>
      <c r="B275" s="1" t="s">
        <v>1360</v>
      </c>
      <c r="C275" s="1" t="s">
        <v>1880</v>
      </c>
      <c r="D275" s="1" t="s">
        <v>1881</v>
      </c>
      <c r="E275" s="39">
        <v>5.0204030071E10</v>
      </c>
      <c r="F275" s="17" t="s">
        <v>1883</v>
      </c>
      <c r="G275" s="1" t="s">
        <v>939</v>
      </c>
      <c r="H275" s="11">
        <v>1.0</v>
      </c>
      <c r="I275" s="23">
        <v>4441.31</v>
      </c>
      <c r="J275" s="15">
        <f t="shared" si="3"/>
        <v>4441.31</v>
      </c>
      <c r="K275" s="3">
        <f t="shared" si="4"/>
        <v>0.257201141104764</v>
      </c>
      <c r="L275" s="15">
        <v>3299.0</v>
      </c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customHeight="1" ht="14.0" customFormat="1" s="17">
      <c r="A276" s="1" t="s">
        <v>1879</v>
      </c>
      <c r="B276" s="1" t="s">
        <v>1360</v>
      </c>
      <c r="C276" s="1" t="s">
        <v>1880</v>
      </c>
      <c r="D276" s="1" t="s">
        <v>1881</v>
      </c>
      <c r="E276" s="39">
        <v>5.030207005E10</v>
      </c>
      <c r="F276" s="17" t="s">
        <v>1884</v>
      </c>
      <c r="G276" s="1" t="s">
        <v>939</v>
      </c>
      <c r="H276" s="11">
        <v>1.0</v>
      </c>
      <c r="I276" s="23">
        <v>5539.0</v>
      </c>
      <c r="J276" s="15">
        <f t="shared" si="3"/>
        <v>5539.0</v>
      </c>
      <c r="K276" s="3">
        <f t="shared" si="4"/>
        <v>0.44051272792923</v>
      </c>
      <c r="L276" s="15">
        <v>3099.0</v>
      </c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customHeight="1" ht="14.0" customFormat="1" s="17">
      <c r="A277" s="1" t="s">
        <v>1879</v>
      </c>
      <c r="B277" s="1" t="s">
        <v>1360</v>
      </c>
      <c r="C277" s="1" t="s">
        <v>1880</v>
      </c>
      <c r="D277" s="1" t="s">
        <v>1881</v>
      </c>
      <c r="E277" s="39">
        <v>5.0304020091E10</v>
      </c>
      <c r="F277" s="17" t="s">
        <v>1885</v>
      </c>
      <c r="G277" s="1" t="s">
        <v>939</v>
      </c>
      <c r="H277" s="11">
        <v>1.0</v>
      </c>
      <c r="I277" s="23">
        <v>1763.23</v>
      </c>
      <c r="J277" s="15">
        <f t="shared" si="3"/>
        <v>1763.23</v>
      </c>
      <c r="K277" s="3">
        <f t="shared" si="4"/>
        <v>0.319997958292452</v>
      </c>
      <c r="L277" s="15">
        <v>1199.0</v>
      </c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customHeight="1" ht="14.0" customFormat="1" s="17">
      <c r="A278" s="1" t="s">
        <v>1879</v>
      </c>
      <c r="B278" s="1" t="s">
        <v>1360</v>
      </c>
      <c r="C278" s="1" t="s">
        <v>1880</v>
      </c>
      <c r="D278" s="1" t="s">
        <v>1881</v>
      </c>
      <c r="E278" s="39">
        <v>5.0402070031E10</v>
      </c>
      <c r="F278" s="17" t="s">
        <v>1886</v>
      </c>
      <c r="G278" s="1" t="s">
        <v>939</v>
      </c>
      <c r="H278" s="11">
        <v>1.0</v>
      </c>
      <c r="I278" s="23">
        <v>5514.0</v>
      </c>
      <c r="J278" s="15">
        <f t="shared" si="3"/>
        <v>5514.0</v>
      </c>
      <c r="K278" s="3">
        <f t="shared" si="4"/>
        <v>0.474247370330069</v>
      </c>
      <c r="L278" s="15">
        <v>2899.0</v>
      </c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customHeight="1" ht="14.0">
      <c r="A279" s="1" t="s">
        <v>369</v>
      </c>
      <c r="B279" s="1" t="s">
        <v>1360</v>
      </c>
      <c r="C279" s="13" t="s">
        <v>480</v>
      </c>
      <c r="D279" s="1" t="s">
        <v>370</v>
      </c>
      <c r="E279" s="17" t="s">
        <v>1887</v>
      </c>
      <c r="F279" s="17" t="s">
        <v>1888</v>
      </c>
      <c r="G279" s="1" t="s">
        <v>24</v>
      </c>
      <c r="H279" s="1">
        <v>1.44</v>
      </c>
      <c r="I279" s="2">
        <v>926.0</v>
      </c>
      <c r="J279" s="15">
        <f t="shared" si="3"/>
        <v>643.055555555556</v>
      </c>
      <c r="K279" s="3">
        <f t="shared" si="4"/>
        <v>0.472829373650109</v>
      </c>
      <c r="L279" s="15">
        <v>339.0</v>
      </c>
    </row>
    <row r="280" customHeight="1" ht="14.0">
      <c r="A280" s="11" t="s">
        <v>1282</v>
      </c>
      <c r="B280" s="1" t="s">
        <v>1360</v>
      </c>
      <c r="C280" s="11" t="s">
        <v>1289</v>
      </c>
      <c r="D280" s="11" t="s">
        <v>1290</v>
      </c>
      <c r="E280" s="40" t="s">
        <v>1866</v>
      </c>
      <c r="F280" s="41" t="s">
        <v>1867</v>
      </c>
      <c r="G280" s="1" t="s">
        <v>939</v>
      </c>
      <c r="H280" s="11">
        <v>1.0</v>
      </c>
      <c r="I280" s="42">
        <v>7299.0</v>
      </c>
      <c r="J280" s="15">
        <f t="shared" si="3"/>
        <v>7299.0</v>
      </c>
      <c r="K280" s="3">
        <f t="shared" si="4"/>
        <v>0.506918755993972</v>
      </c>
      <c r="L280" s="42">
        <v>3599.0</v>
      </c>
      <c r="M280" s="11" t="s">
        <v>1868</v>
      </c>
    </row>
    <row r="281" customHeight="1" ht="14.0">
      <c r="A281" s="11" t="s">
        <v>1282</v>
      </c>
      <c r="B281" s="1" t="s">
        <v>1360</v>
      </c>
      <c r="C281" s="11" t="s">
        <v>1289</v>
      </c>
      <c r="D281" s="11" t="s">
        <v>1290</v>
      </c>
      <c r="E281" s="40" t="s">
        <v>1863</v>
      </c>
      <c r="F281" s="41" t="s">
        <v>1864</v>
      </c>
      <c r="G281" s="1" t="s">
        <v>939</v>
      </c>
      <c r="H281" s="11">
        <v>1.0</v>
      </c>
      <c r="I281" s="42">
        <v>8859.0</v>
      </c>
      <c r="J281" s="15">
        <f t="shared" si="3"/>
        <v>8859.0</v>
      </c>
      <c r="K281" s="3">
        <f t="shared" si="4"/>
        <v>0.221243932723783</v>
      </c>
      <c r="L281" s="42">
        <v>6899.0</v>
      </c>
      <c r="M281" s="11" t="s">
        <v>1868</v>
      </c>
    </row>
    <row r="282" customHeight="1" ht="14.0">
      <c r="A282" s="11" t="s">
        <v>1282</v>
      </c>
      <c r="B282" s="1" t="s">
        <v>1360</v>
      </c>
      <c r="C282" s="11" t="s">
        <v>1289</v>
      </c>
      <c r="D282" s="11" t="s">
        <v>1290</v>
      </c>
      <c r="E282" s="17" t="s">
        <v>1553</v>
      </c>
      <c r="F282" s="17" t="s">
        <v>1554</v>
      </c>
      <c r="G282" s="1" t="s">
        <v>939</v>
      </c>
      <c r="H282" s="11">
        <v>1.0</v>
      </c>
      <c r="I282" s="42">
        <v>11799.0</v>
      </c>
      <c r="J282" s="15">
        <f t="shared" si="3"/>
        <v>11799.0</v>
      </c>
      <c r="K282" s="3">
        <f t="shared" si="4"/>
        <v>0.295787778625308</v>
      </c>
      <c r="L282" s="42">
        <v>8309.0</v>
      </c>
      <c r="M282" s="11" t="s">
        <v>1868</v>
      </c>
    </row>
    <row r="283" customHeight="1" ht="14.0">
      <c r="A283" s="11" t="s">
        <v>1282</v>
      </c>
      <c r="B283" s="1" t="s">
        <v>1360</v>
      </c>
      <c r="C283" s="11" t="s">
        <v>1289</v>
      </c>
      <c r="D283" s="11" t="s">
        <v>1290</v>
      </c>
      <c r="E283" s="17" t="s">
        <v>1889</v>
      </c>
      <c r="F283" s="17" t="s">
        <v>1890</v>
      </c>
      <c r="G283" s="1" t="s">
        <v>939</v>
      </c>
      <c r="H283" s="11">
        <v>1.0</v>
      </c>
      <c r="I283" s="42">
        <v>10279.0</v>
      </c>
      <c r="J283" s="15">
        <f t="shared" si="3"/>
        <v>10279.0</v>
      </c>
      <c r="K283" s="3">
        <f t="shared" si="4"/>
        <v>0.295748613678373</v>
      </c>
      <c r="L283" s="42">
        <v>7239.0</v>
      </c>
      <c r="M283" s="11" t="s">
        <v>1868</v>
      </c>
    </row>
    <row r="284" customHeight="1" ht="14.0">
      <c r="A284" s="11" t="s">
        <v>1282</v>
      </c>
      <c r="B284" s="1" t="s">
        <v>1360</v>
      </c>
      <c r="C284" s="11" t="s">
        <v>1289</v>
      </c>
      <c r="D284" s="11" t="s">
        <v>1290</v>
      </c>
      <c r="E284" s="17" t="s">
        <v>1891</v>
      </c>
      <c r="F284" s="17" t="s">
        <v>1892</v>
      </c>
      <c r="G284" s="1" t="s">
        <v>939</v>
      </c>
      <c r="H284" s="11">
        <v>1.0</v>
      </c>
      <c r="I284" s="42">
        <v>15209.0</v>
      </c>
      <c r="J284" s="15">
        <f t="shared" si="3"/>
        <v>15209.0</v>
      </c>
      <c r="K284" s="3">
        <f t="shared" si="4"/>
        <v>0.401735814320469</v>
      </c>
      <c r="L284" s="42">
        <v>9099.0</v>
      </c>
      <c r="M284" s="11" t="s">
        <v>1868</v>
      </c>
    </row>
    <row r="285" customHeight="1" ht="14.0">
      <c r="A285" s="11" t="s">
        <v>1282</v>
      </c>
      <c r="B285" s="1" t="s">
        <v>1360</v>
      </c>
      <c r="C285" s="11" t="s">
        <v>1289</v>
      </c>
      <c r="D285" s="11" t="s">
        <v>1290</v>
      </c>
      <c r="E285" s="17" t="s">
        <v>1893</v>
      </c>
      <c r="F285" s="17" t="s">
        <v>1894</v>
      </c>
      <c r="G285" s="1" t="s">
        <v>939</v>
      </c>
      <c r="H285" s="11">
        <v>1.0</v>
      </c>
      <c r="I285" s="42">
        <v>13599.0</v>
      </c>
      <c r="J285" s="15">
        <f t="shared" si="3"/>
        <v>13599.0</v>
      </c>
      <c r="K285" s="3">
        <f t="shared" si="4"/>
        <v>0.411794984925362</v>
      </c>
      <c r="L285" s="42">
        <v>7999.0</v>
      </c>
      <c r="M285" s="11" t="s">
        <v>1868</v>
      </c>
    </row>
    <row r="286" customHeight="1" ht="14.0">
      <c r="A286" s="11" t="s">
        <v>1282</v>
      </c>
      <c r="B286" s="1" t="s">
        <v>1360</v>
      </c>
      <c r="C286" s="11" t="s">
        <v>1289</v>
      </c>
      <c r="D286" s="11" t="s">
        <v>1290</v>
      </c>
      <c r="E286" s="17" t="s">
        <v>1557</v>
      </c>
      <c r="F286" s="17" t="s">
        <v>1558</v>
      </c>
      <c r="G286" s="1" t="s">
        <v>939</v>
      </c>
      <c r="H286" s="11">
        <v>1.0</v>
      </c>
      <c r="I286" s="42">
        <v>7769.0</v>
      </c>
      <c r="J286" s="15">
        <f t="shared" si="3"/>
        <v>7769.0</v>
      </c>
      <c r="K286" s="3">
        <f t="shared" si="4"/>
        <v>0.266443557729436</v>
      </c>
      <c r="L286" s="42">
        <v>5699.0</v>
      </c>
      <c r="M286" s="11" t="s">
        <v>1868</v>
      </c>
    </row>
    <row r="287" customHeight="1" ht="14.0">
      <c r="A287" s="11" t="s">
        <v>1282</v>
      </c>
      <c r="B287" s="1" t="s">
        <v>1360</v>
      </c>
      <c r="C287" s="11" t="s">
        <v>1289</v>
      </c>
      <c r="D287" s="11" t="s">
        <v>1290</v>
      </c>
      <c r="E287" s="17" t="s">
        <v>1895</v>
      </c>
      <c r="F287" s="17" t="s">
        <v>1896</v>
      </c>
      <c r="G287" s="1" t="s">
        <v>939</v>
      </c>
      <c r="H287" s="11">
        <v>1.0</v>
      </c>
      <c r="I287" s="42">
        <v>8269.0</v>
      </c>
      <c r="J287" s="15">
        <f t="shared" si="3"/>
        <v>8269.0</v>
      </c>
      <c r="K287" s="3">
        <f t="shared" si="4"/>
        <v>0.250332567420487</v>
      </c>
      <c r="L287" s="42">
        <v>6199.0</v>
      </c>
      <c r="M287" s="11" t="s">
        <v>1868</v>
      </c>
    </row>
    <row r="288" ht="17.0" customFormat="1" s="1">
      <c r="A288" s="1" t="s">
        <v>1744</v>
      </c>
      <c r="B288" s="1" t="s">
        <v>1360</v>
      </c>
      <c r="C288" s="1" t="s">
        <v>21</v>
      </c>
      <c r="D288" s="1" t="s">
        <v>22</v>
      </c>
      <c r="E288" s="1">
        <v>5.22682254011481E14</v>
      </c>
      <c r="F288" s="1" t="s">
        <v>1897</v>
      </c>
      <c r="G288" s="1" t="s">
        <v>24</v>
      </c>
      <c r="H288" s="1">
        <v>1.5</v>
      </c>
      <c r="I288" s="2">
        <v>509.0</v>
      </c>
      <c r="J288" s="15">
        <f t="shared" si="3"/>
        <v>339.333333333333</v>
      </c>
      <c r="K288" s="3">
        <f t="shared" si="4"/>
        <v>0.354616895874263</v>
      </c>
      <c r="L288" s="15">
        <v>219.0</v>
      </c>
    </row>
    <row r="289" ht="17.0" customFormat="1" s="1">
      <c r="A289" s="1" t="s">
        <v>1744</v>
      </c>
      <c r="B289" s="1" t="s">
        <v>1360</v>
      </c>
      <c r="C289" s="1" t="s">
        <v>21</v>
      </c>
      <c r="D289" s="1" t="s">
        <v>22</v>
      </c>
      <c r="E289" s="10">
        <v>5.22799254028911E14</v>
      </c>
      <c r="F289" s="1" t="s">
        <v>1898</v>
      </c>
      <c r="G289" s="1" t="s">
        <v>24</v>
      </c>
      <c r="H289" s="1">
        <v>2.0</v>
      </c>
      <c r="I289" s="2">
        <v>719.0</v>
      </c>
      <c r="J289" s="15">
        <f t="shared" si="3"/>
        <v>359.5</v>
      </c>
      <c r="K289" s="3">
        <f t="shared" si="4"/>
        <v>0.307371349095967</v>
      </c>
      <c r="L289" s="15">
        <v>249.0</v>
      </c>
    </row>
    <row r="290" ht="17.0" customFormat="1" s="1">
      <c r="A290" s="1" t="s">
        <v>1196</v>
      </c>
      <c r="B290" s="1" t="s">
        <v>1360</v>
      </c>
      <c r="C290" s="1" t="s">
        <v>1233</v>
      </c>
      <c r="D290" s="1" t="s">
        <v>1899</v>
      </c>
      <c r="E290" s="1" t="s">
        <v>1900</v>
      </c>
      <c r="F290" s="1" t="s">
        <v>1901</v>
      </c>
      <c r="G290" s="1" t="s">
        <v>1207</v>
      </c>
      <c r="H290" s="1">
        <v>1.0</v>
      </c>
      <c r="I290" s="2">
        <v>11721.0</v>
      </c>
      <c r="J290" s="15">
        <f t="shared" si="3"/>
        <v>11721.0</v>
      </c>
      <c r="K290" s="3">
        <f t="shared" si="4"/>
        <v>0.488183602081733</v>
      </c>
      <c r="L290" s="15">
        <v>5999.0</v>
      </c>
    </row>
  </sheetData>
  <mergeCells count="8">
    <mergeCell ref="L208:L211"/>
    <mergeCell ref="L206:L207"/>
    <mergeCell ref="L198:L201"/>
    <mergeCell ref="L216:L219"/>
    <mergeCell ref="L220:L223"/>
    <mergeCell ref="L224:L226"/>
    <mergeCell ref="L202:L205"/>
    <mergeCell ref="L212:L215"/>
  </mergeCells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H52"/>
  <sheetViews>
    <sheetView workbookViewId="0"/>
  </sheetViews>
  <sheetFormatPr defaultRowHeight="17.0" customHeight="1"/>
  <cols>
    <col min="1" max="1" style="17" width="11.52"/>
    <col min="2" max="3" width="10.86"/>
    <col min="4" max="4" style="17" width="18.28"/>
    <col min="5" max="5" style="17" width="20.66"/>
    <col min="6" max="6" style="17" width="60.28"/>
    <col min="7" max="2048" style="17" width="11.52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8</v>
      </c>
    </row>
    <row r="2">
      <c r="A2" s="1" t="s">
        <v>369</v>
      </c>
      <c r="B2" s="1" t="s">
        <v>20</v>
      </c>
      <c r="C2" s="1" t="s">
        <v>21</v>
      </c>
      <c r="D2" s="1" t="s">
        <v>370</v>
      </c>
      <c r="E2" s="22" t="s">
        <v>436</v>
      </c>
      <c r="F2" s="17" t="s">
        <v>437</v>
      </c>
      <c r="G2" s="17">
        <v>1.44</v>
      </c>
      <c r="H2" s="17" t="s">
        <v>256</v>
      </c>
    </row>
    <row r="3">
      <c r="A3" s="1" t="s">
        <v>369</v>
      </c>
      <c r="B3" s="1" t="s">
        <v>20</v>
      </c>
      <c r="C3" s="1" t="s">
        <v>21</v>
      </c>
      <c r="D3" s="1" t="s">
        <v>370</v>
      </c>
      <c r="E3" s="22" t="s">
        <v>381</v>
      </c>
      <c r="F3" s="17" t="s">
        <v>382</v>
      </c>
      <c r="G3" s="17">
        <v>1.44</v>
      </c>
      <c r="H3" s="17" t="s">
        <v>256</v>
      </c>
    </row>
    <row r="4">
      <c r="A4" s="1" t="s">
        <v>369</v>
      </c>
      <c r="B4" s="1" t="s">
        <v>20</v>
      </c>
      <c r="C4" s="1" t="s">
        <v>21</v>
      </c>
      <c r="D4" s="1" t="s">
        <v>370</v>
      </c>
      <c r="E4" s="22" t="s">
        <v>400</v>
      </c>
      <c r="F4" s="17" t="s">
        <v>1902</v>
      </c>
      <c r="G4" s="17">
        <v>1.44</v>
      </c>
      <c r="H4" s="17" t="s">
        <v>207</v>
      </c>
    </row>
    <row r="5">
      <c r="A5" s="1" t="s">
        <v>369</v>
      </c>
      <c r="B5" s="1" t="s">
        <v>20</v>
      </c>
      <c r="C5" s="1" t="s">
        <v>21</v>
      </c>
      <c r="D5" s="1" t="s">
        <v>370</v>
      </c>
      <c r="E5" s="22" t="s">
        <v>386</v>
      </c>
      <c r="F5" s="17" t="s">
        <v>1903</v>
      </c>
      <c r="G5" s="17">
        <v>1.44</v>
      </c>
      <c r="H5" s="17" t="s">
        <v>256</v>
      </c>
    </row>
    <row r="6">
      <c r="A6" s="1" t="s">
        <v>369</v>
      </c>
      <c r="B6" s="1" t="s">
        <v>20</v>
      </c>
      <c r="C6" s="1" t="s">
        <v>21</v>
      </c>
      <c r="D6" s="1" t="s">
        <v>370</v>
      </c>
      <c r="E6" s="22" t="s">
        <v>418</v>
      </c>
      <c r="F6" s="17" t="s">
        <v>419</v>
      </c>
      <c r="G6" s="17">
        <v>1.44</v>
      </c>
      <c r="H6" s="17" t="s">
        <v>207</v>
      </c>
    </row>
    <row r="7" customHeight="1" ht="14.0">
      <c r="A7" s="1" t="s">
        <v>92</v>
      </c>
      <c r="B7" s="1" t="s">
        <v>20</v>
      </c>
      <c r="C7" s="1" t="s">
        <v>21</v>
      </c>
      <c r="D7" s="1" t="s">
        <v>93</v>
      </c>
      <c r="E7" s="22" t="s">
        <v>100</v>
      </c>
      <c r="F7" s="17" t="s">
        <v>101</v>
      </c>
      <c r="G7" s="17">
        <v>1.99</v>
      </c>
      <c r="H7" s="17" t="s">
        <v>1904</v>
      </c>
    </row>
    <row r="8">
      <c r="A8" s="1" t="s">
        <v>92</v>
      </c>
      <c r="B8" s="1" t="s">
        <v>20</v>
      </c>
      <c r="C8" s="1" t="s">
        <v>21</v>
      </c>
      <c r="D8" s="1" t="s">
        <v>93</v>
      </c>
      <c r="E8" s="22" t="s">
        <v>350</v>
      </c>
      <c r="F8" s="17" t="s">
        <v>351</v>
      </c>
      <c r="G8" s="17">
        <v>1.42</v>
      </c>
      <c r="H8" s="17" t="s">
        <v>207</v>
      </c>
    </row>
    <row r="9">
      <c r="A9" s="1" t="s">
        <v>92</v>
      </c>
      <c r="B9" s="1" t="s">
        <v>20</v>
      </c>
      <c r="C9" s="1" t="s">
        <v>21</v>
      </c>
      <c r="D9" s="1" t="s">
        <v>93</v>
      </c>
      <c r="E9" s="22" t="s">
        <v>358</v>
      </c>
      <c r="F9" s="17" t="s">
        <v>359</v>
      </c>
      <c r="G9" s="17">
        <v>1.42</v>
      </c>
      <c r="H9" s="17" t="s">
        <v>207</v>
      </c>
    </row>
    <row r="10">
      <c r="A10" s="1" t="s">
        <v>92</v>
      </c>
      <c r="B10" s="1" t="s">
        <v>20</v>
      </c>
      <c r="C10" s="1" t="s">
        <v>21</v>
      </c>
      <c r="D10" s="1" t="s">
        <v>93</v>
      </c>
      <c r="E10" s="22" t="s">
        <v>136</v>
      </c>
      <c r="F10" s="17" t="s">
        <v>1905</v>
      </c>
      <c r="G10" s="17">
        <v>1.89</v>
      </c>
      <c r="H10" s="17" t="s">
        <v>1906</v>
      </c>
    </row>
    <row r="11">
      <c r="A11" s="1" t="s">
        <v>92</v>
      </c>
      <c r="B11" s="1" t="s">
        <v>20</v>
      </c>
      <c r="C11" s="1" t="s">
        <v>21</v>
      </c>
      <c r="D11" s="1" t="s">
        <v>93</v>
      </c>
      <c r="E11" s="22" t="s">
        <v>338</v>
      </c>
      <c r="F11" s="17" t="s">
        <v>1907</v>
      </c>
      <c r="G11" s="17">
        <v>1.42</v>
      </c>
      <c r="H11" s="17" t="s">
        <v>207</v>
      </c>
    </row>
    <row r="12">
      <c r="A12" s="1" t="s">
        <v>92</v>
      </c>
      <c r="B12" s="1" t="s">
        <v>20</v>
      </c>
      <c r="C12" s="1" t="s">
        <v>21</v>
      </c>
      <c r="D12" s="1" t="s">
        <v>93</v>
      </c>
      <c r="E12" s="22" t="s">
        <v>159</v>
      </c>
      <c r="F12" s="17" t="s">
        <v>1908</v>
      </c>
      <c r="G12" s="17">
        <v>1.8</v>
      </c>
      <c r="H12" s="17" t="s">
        <v>256</v>
      </c>
    </row>
    <row r="13">
      <c r="A13" s="1" t="s">
        <v>92</v>
      </c>
      <c r="B13" s="1" t="s">
        <v>20</v>
      </c>
      <c r="C13" s="1" t="s">
        <v>21</v>
      </c>
      <c r="D13" s="1" t="s">
        <v>93</v>
      </c>
      <c r="E13" s="22" t="s">
        <v>179</v>
      </c>
      <c r="F13" s="17" t="s">
        <v>1909</v>
      </c>
      <c r="G13" s="17">
        <v>1.8</v>
      </c>
      <c r="H13" s="17" t="s">
        <v>104</v>
      </c>
    </row>
    <row r="14">
      <c r="A14" s="1" t="s">
        <v>92</v>
      </c>
      <c r="B14" s="1" t="s">
        <v>20</v>
      </c>
      <c r="C14" s="1" t="s">
        <v>21</v>
      </c>
      <c r="D14" s="1" t="s">
        <v>93</v>
      </c>
      <c r="E14" s="22" t="s">
        <v>352</v>
      </c>
      <c r="F14" s="17" t="s">
        <v>353</v>
      </c>
      <c r="G14" s="17">
        <v>1.42</v>
      </c>
      <c r="H14" s="17" t="s">
        <v>207</v>
      </c>
    </row>
    <row r="15">
      <c r="A15" s="1" t="s">
        <v>92</v>
      </c>
      <c r="B15" s="1" t="s">
        <v>20</v>
      </c>
      <c r="C15" s="1" t="s">
        <v>21</v>
      </c>
      <c r="D15" s="1" t="s">
        <v>93</v>
      </c>
      <c r="E15" s="22" t="s">
        <v>132</v>
      </c>
      <c r="F15" s="17" t="s">
        <v>1910</v>
      </c>
      <c r="G15" s="17">
        <v>1.89</v>
      </c>
      <c r="H15" s="17" t="s">
        <v>1906</v>
      </c>
    </row>
    <row r="16">
      <c r="A16" s="1" t="s">
        <v>92</v>
      </c>
      <c r="B16" s="1" t="s">
        <v>20</v>
      </c>
      <c r="C16" s="1" t="s">
        <v>21</v>
      </c>
      <c r="D16" s="1" t="s">
        <v>93</v>
      </c>
      <c r="E16" s="22" t="s">
        <v>326</v>
      </c>
      <c r="F16" s="17" t="s">
        <v>327</v>
      </c>
      <c r="G16" s="17">
        <v>1.42</v>
      </c>
      <c r="H16" s="17" t="s">
        <v>207</v>
      </c>
    </row>
    <row r="17">
      <c r="A17" s="1" t="s">
        <v>92</v>
      </c>
      <c r="B17" s="1" t="s">
        <v>20</v>
      </c>
      <c r="C17" s="1" t="s">
        <v>21</v>
      </c>
      <c r="D17" s="1" t="s">
        <v>93</v>
      </c>
      <c r="E17" s="22" t="s">
        <v>336</v>
      </c>
      <c r="F17" s="17" t="s">
        <v>337</v>
      </c>
      <c r="G17" s="17">
        <v>1.42</v>
      </c>
      <c r="H17" s="17" t="s">
        <v>207</v>
      </c>
    </row>
    <row r="18">
      <c r="A18" s="1" t="s">
        <v>92</v>
      </c>
      <c r="B18" s="1" t="s">
        <v>20</v>
      </c>
      <c r="C18" s="1" t="s">
        <v>21</v>
      </c>
      <c r="D18" s="1" t="s">
        <v>93</v>
      </c>
      <c r="E18" s="22" t="s">
        <v>115</v>
      </c>
      <c r="F18" s="17" t="s">
        <v>1911</v>
      </c>
      <c r="G18" s="17">
        <v>1.89</v>
      </c>
      <c r="H18" s="17" t="s">
        <v>1906</v>
      </c>
    </row>
    <row r="19">
      <c r="A19" s="1" t="s">
        <v>92</v>
      </c>
      <c r="B19" s="1" t="s">
        <v>20</v>
      </c>
      <c r="C19" s="1" t="s">
        <v>21</v>
      </c>
      <c r="D19" s="1" t="s">
        <v>93</v>
      </c>
      <c r="E19" s="22" t="s">
        <v>322</v>
      </c>
      <c r="F19" s="17" t="s">
        <v>323</v>
      </c>
      <c r="G19" s="17">
        <v>1.42</v>
      </c>
      <c r="H19" s="17" t="s">
        <v>207</v>
      </c>
    </row>
    <row r="20">
      <c r="A20" s="1" t="s">
        <v>92</v>
      </c>
      <c r="B20" s="1" t="s">
        <v>20</v>
      </c>
      <c r="C20" s="1" t="s">
        <v>21</v>
      </c>
      <c r="D20" s="1" t="s">
        <v>93</v>
      </c>
      <c r="E20" s="22" t="s">
        <v>289</v>
      </c>
      <c r="F20" s="17" t="s">
        <v>290</v>
      </c>
      <c r="G20" s="17">
        <v>1.42</v>
      </c>
      <c r="H20" s="17" t="s">
        <v>207</v>
      </c>
    </row>
    <row r="21">
      <c r="A21" s="1" t="s">
        <v>92</v>
      </c>
      <c r="B21" s="1" t="s">
        <v>20</v>
      </c>
      <c r="C21" s="1" t="s">
        <v>21</v>
      </c>
      <c r="D21" s="1" t="s">
        <v>93</v>
      </c>
      <c r="E21" s="22" t="s">
        <v>134</v>
      </c>
      <c r="F21" s="17" t="s">
        <v>1912</v>
      </c>
      <c r="G21" s="17">
        <v>1.89</v>
      </c>
      <c r="H21" s="17" t="s">
        <v>1906</v>
      </c>
    </row>
    <row r="22">
      <c r="A22" s="1" t="s">
        <v>92</v>
      </c>
      <c r="B22" s="1" t="s">
        <v>20</v>
      </c>
      <c r="C22" s="1" t="s">
        <v>21</v>
      </c>
      <c r="D22" s="1" t="s">
        <v>93</v>
      </c>
      <c r="E22" s="22" t="s">
        <v>482</v>
      </c>
      <c r="F22" s="17" t="s">
        <v>483</v>
      </c>
      <c r="G22" s="17">
        <v>2.13</v>
      </c>
      <c r="H22" s="17" t="s">
        <v>404</v>
      </c>
    </row>
    <row r="23">
      <c r="A23" s="1" t="s">
        <v>92</v>
      </c>
      <c r="B23" s="1" t="s">
        <v>20</v>
      </c>
      <c r="C23" s="1" t="s">
        <v>21</v>
      </c>
      <c r="D23" s="1" t="s">
        <v>93</v>
      </c>
      <c r="E23" s="22" t="s">
        <v>362</v>
      </c>
      <c r="F23" s="17" t="s">
        <v>363</v>
      </c>
      <c r="G23" s="17">
        <v>1.42</v>
      </c>
      <c r="H23" s="17" t="s">
        <v>207</v>
      </c>
    </row>
    <row r="24">
      <c r="A24" s="1" t="s">
        <v>92</v>
      </c>
      <c r="B24" s="1" t="s">
        <v>20</v>
      </c>
      <c r="C24" s="1" t="s">
        <v>21</v>
      </c>
      <c r="D24" s="1" t="s">
        <v>93</v>
      </c>
      <c r="E24" s="22" t="s">
        <v>117</v>
      </c>
      <c r="F24" s="17" t="s">
        <v>1913</v>
      </c>
      <c r="G24" s="17">
        <v>1.89</v>
      </c>
      <c r="H24" s="17" t="s">
        <v>1906</v>
      </c>
    </row>
    <row r="25">
      <c r="A25" s="1" t="s">
        <v>92</v>
      </c>
      <c r="B25" s="1" t="s">
        <v>20</v>
      </c>
      <c r="C25" s="1" t="s">
        <v>21</v>
      </c>
      <c r="D25" s="1" t="s">
        <v>93</v>
      </c>
      <c r="E25" s="22" t="s">
        <v>271</v>
      </c>
      <c r="F25" s="17" t="s">
        <v>272</v>
      </c>
      <c r="G25" s="17">
        <v>1.76</v>
      </c>
      <c r="H25" s="17" t="s">
        <v>1914</v>
      </c>
    </row>
    <row r="26">
      <c r="A26" s="1" t="s">
        <v>92</v>
      </c>
      <c r="B26" s="1" t="s">
        <v>20</v>
      </c>
      <c r="C26" s="1" t="s">
        <v>21</v>
      </c>
      <c r="D26" s="1" t="s">
        <v>93</v>
      </c>
      <c r="E26" s="22" t="s">
        <v>324</v>
      </c>
      <c r="F26" s="17" t="s">
        <v>1915</v>
      </c>
      <c r="G26" s="17">
        <v>1.42</v>
      </c>
      <c r="H26" s="17" t="s">
        <v>207</v>
      </c>
    </row>
    <row r="27">
      <c r="A27" s="1" t="s">
        <v>504</v>
      </c>
      <c r="B27" s="1" t="s">
        <v>504</v>
      </c>
      <c r="C27" s="1" t="s">
        <v>504</v>
      </c>
      <c r="D27" s="1" t="s">
        <v>504</v>
      </c>
      <c r="E27" s="22" t="s">
        <v>975</v>
      </c>
      <c r="F27" s="17" t="s">
        <v>976</v>
      </c>
      <c r="G27" s="17">
        <v>1.68</v>
      </c>
      <c r="H27" s="17" t="s">
        <v>972</v>
      </c>
    </row>
    <row r="28" customHeight="1" ht="14.0">
      <c r="A28" s="1" t="s">
        <v>504</v>
      </c>
      <c r="B28" s="1" t="s">
        <v>504</v>
      </c>
      <c r="C28" s="1" t="s">
        <v>504</v>
      </c>
      <c r="D28" s="1" t="s">
        <v>504</v>
      </c>
      <c r="E28" s="22" t="s">
        <v>1032</v>
      </c>
      <c r="F28" s="17" t="s">
        <v>1033</v>
      </c>
      <c r="G28" s="17">
        <v>2.68</v>
      </c>
      <c r="H28" s="17" t="s">
        <v>1916</v>
      </c>
    </row>
    <row r="29">
      <c r="A29" s="1" t="s">
        <v>504</v>
      </c>
      <c r="B29" s="1" t="s">
        <v>504</v>
      </c>
      <c r="C29" s="1" t="s">
        <v>504</v>
      </c>
      <c r="D29" s="1" t="s">
        <v>504</v>
      </c>
      <c r="E29" s="22" t="s">
        <v>860</v>
      </c>
      <c r="F29" s="17" t="s">
        <v>861</v>
      </c>
      <c r="G29" s="17">
        <v>2.19</v>
      </c>
      <c r="H29" s="17" t="s">
        <v>1917</v>
      </c>
    </row>
    <row r="30">
      <c r="A30" s="1" t="s">
        <v>504</v>
      </c>
      <c r="B30" s="1" t="s">
        <v>504</v>
      </c>
      <c r="C30" s="1" t="s">
        <v>504</v>
      </c>
      <c r="D30" s="1" t="s">
        <v>504</v>
      </c>
      <c r="E30" s="22" t="s">
        <v>817</v>
      </c>
      <c r="F30" s="17" t="s">
        <v>818</v>
      </c>
      <c r="G30" s="17">
        <v>1.44</v>
      </c>
      <c r="H30" s="17" t="s">
        <v>104</v>
      </c>
    </row>
    <row r="31">
      <c r="A31" s="1" t="s">
        <v>504</v>
      </c>
      <c r="B31" s="1" t="s">
        <v>504</v>
      </c>
      <c r="C31" s="1" t="s">
        <v>504</v>
      </c>
      <c r="D31" s="1" t="s">
        <v>504</v>
      </c>
      <c r="E31" s="22" t="s">
        <v>685</v>
      </c>
      <c r="F31" s="17" t="s">
        <v>686</v>
      </c>
      <c r="G31" s="17">
        <v>1.44</v>
      </c>
      <c r="H31" s="17" t="s">
        <v>207</v>
      </c>
    </row>
    <row r="32">
      <c r="A32" s="1" t="s">
        <v>504</v>
      </c>
      <c r="B32" s="1" t="s">
        <v>504</v>
      </c>
      <c r="C32" s="1" t="s">
        <v>504</v>
      </c>
      <c r="D32" s="1" t="s">
        <v>504</v>
      </c>
      <c r="E32" s="22" t="s">
        <v>811</v>
      </c>
      <c r="F32" s="17" t="s">
        <v>812</v>
      </c>
      <c r="G32" s="17">
        <v>1.44</v>
      </c>
      <c r="H32" s="17" t="s">
        <v>256</v>
      </c>
    </row>
    <row r="33">
      <c r="A33" s="1" t="s">
        <v>504</v>
      </c>
      <c r="B33" s="1" t="s">
        <v>504</v>
      </c>
      <c r="C33" s="1" t="s">
        <v>504</v>
      </c>
      <c r="D33" s="1" t="s">
        <v>504</v>
      </c>
      <c r="E33" s="22" t="s">
        <v>683</v>
      </c>
      <c r="F33" s="17" t="s">
        <v>1918</v>
      </c>
      <c r="G33" s="17">
        <v>1.44</v>
      </c>
      <c r="H33" s="17" t="s">
        <v>207</v>
      </c>
    </row>
    <row r="34">
      <c r="A34" s="1" t="s">
        <v>504</v>
      </c>
      <c r="B34" s="1" t="s">
        <v>504</v>
      </c>
      <c r="C34" s="1" t="s">
        <v>504</v>
      </c>
      <c r="D34" s="1" t="s">
        <v>504</v>
      </c>
      <c r="E34" s="22" t="s">
        <v>709</v>
      </c>
      <c r="F34" s="17" t="s">
        <v>710</v>
      </c>
      <c r="G34" s="17">
        <v>1.44</v>
      </c>
      <c r="H34" s="17" t="s">
        <v>207</v>
      </c>
    </row>
    <row r="35">
      <c r="A35" s="1" t="s">
        <v>504</v>
      </c>
      <c r="B35" s="1" t="s">
        <v>504</v>
      </c>
      <c r="C35" s="1" t="s">
        <v>504</v>
      </c>
      <c r="D35" s="1" t="s">
        <v>504</v>
      </c>
      <c r="E35" s="22" t="s">
        <v>803</v>
      </c>
      <c r="F35" s="17" t="s">
        <v>804</v>
      </c>
      <c r="G35" s="17">
        <v>1.44</v>
      </c>
      <c r="H35" s="17" t="s">
        <v>256</v>
      </c>
    </row>
    <row r="36">
      <c r="A36" s="1" t="s">
        <v>504</v>
      </c>
      <c r="B36" s="1" t="s">
        <v>504</v>
      </c>
      <c r="C36" s="1" t="s">
        <v>504</v>
      </c>
      <c r="D36" s="1" t="s">
        <v>504</v>
      </c>
      <c r="E36" s="22" t="s">
        <v>809</v>
      </c>
      <c r="F36" s="17" t="s">
        <v>810</v>
      </c>
      <c r="G36" s="17">
        <v>1.44</v>
      </c>
      <c r="H36" s="17" t="s">
        <v>256</v>
      </c>
    </row>
    <row r="37">
      <c r="A37" s="1" t="s">
        <v>504</v>
      </c>
      <c r="B37" s="1" t="s">
        <v>504</v>
      </c>
      <c r="C37" s="1" t="s">
        <v>504</v>
      </c>
      <c r="D37" s="1" t="s">
        <v>504</v>
      </c>
      <c r="E37" s="22" t="s">
        <v>701</v>
      </c>
      <c r="F37" s="17" t="s">
        <v>702</v>
      </c>
      <c r="G37" s="17">
        <v>1.44</v>
      </c>
      <c r="H37" s="17" t="s">
        <v>207</v>
      </c>
    </row>
    <row r="38">
      <c r="A38" s="1" t="s">
        <v>504</v>
      </c>
      <c r="B38" s="1" t="s">
        <v>504</v>
      </c>
      <c r="C38" s="1" t="s">
        <v>504</v>
      </c>
      <c r="D38" s="1" t="s">
        <v>504</v>
      </c>
      <c r="E38" s="22" t="s">
        <v>880</v>
      </c>
      <c r="F38" s="17" t="s">
        <v>881</v>
      </c>
      <c r="G38" s="17">
        <v>2.56</v>
      </c>
      <c r="H38" s="17" t="s">
        <v>297</v>
      </c>
    </row>
    <row r="39">
      <c r="A39" s="1" t="s">
        <v>504</v>
      </c>
      <c r="B39" s="1" t="s">
        <v>504</v>
      </c>
      <c r="C39" s="1" t="s">
        <v>504</v>
      </c>
      <c r="D39" s="1" t="s">
        <v>504</v>
      </c>
      <c r="E39" s="22" t="s">
        <v>855</v>
      </c>
      <c r="F39" s="17" t="s">
        <v>856</v>
      </c>
      <c r="G39" s="17">
        <v>1.44</v>
      </c>
      <c r="H39" s="17" t="s">
        <v>104</v>
      </c>
    </row>
    <row r="40">
      <c r="A40" s="1" t="s">
        <v>504</v>
      </c>
      <c r="B40" s="1" t="s">
        <v>504</v>
      </c>
      <c r="C40" s="1" t="s">
        <v>504</v>
      </c>
      <c r="D40" s="1" t="s">
        <v>504</v>
      </c>
      <c r="E40" s="22" t="s">
        <v>883</v>
      </c>
      <c r="F40" s="17" t="s">
        <v>884</v>
      </c>
      <c r="G40" s="17">
        <v>2.56</v>
      </c>
      <c r="H40" s="17" t="s">
        <v>297</v>
      </c>
    </row>
    <row r="41">
      <c r="A41" s="1" t="s">
        <v>504</v>
      </c>
      <c r="B41" s="1" t="s">
        <v>504</v>
      </c>
      <c r="C41" s="1" t="s">
        <v>504</v>
      </c>
      <c r="D41" s="1" t="s">
        <v>504</v>
      </c>
      <c r="E41" s="22" t="s">
        <v>522</v>
      </c>
      <c r="F41" s="17" t="s">
        <v>1919</v>
      </c>
      <c r="G41" s="17">
        <v>2.88</v>
      </c>
      <c r="H41" s="17" t="s">
        <v>1920</v>
      </c>
    </row>
    <row r="42">
      <c r="A42" s="1" t="s">
        <v>504</v>
      </c>
      <c r="B42" s="1" t="s">
        <v>504</v>
      </c>
      <c r="C42" s="1" t="s">
        <v>504</v>
      </c>
      <c r="D42" s="1" t="s">
        <v>504</v>
      </c>
      <c r="E42" s="22" t="s">
        <v>865</v>
      </c>
      <c r="F42" s="17" t="s">
        <v>866</v>
      </c>
      <c r="G42" s="17">
        <v>2.25</v>
      </c>
      <c r="H42" s="17" t="s">
        <v>1921</v>
      </c>
    </row>
    <row r="43">
      <c r="A43" s="1" t="s">
        <v>504</v>
      </c>
      <c r="B43" s="1" t="s">
        <v>504</v>
      </c>
      <c r="C43" s="1" t="s">
        <v>504</v>
      </c>
      <c r="D43" s="1" t="s">
        <v>504</v>
      </c>
      <c r="E43" s="22" t="s">
        <v>631</v>
      </c>
      <c r="F43" s="17" t="s">
        <v>632</v>
      </c>
      <c r="G43" s="17">
        <v>1.44</v>
      </c>
      <c r="H43" s="17" t="s">
        <v>207</v>
      </c>
    </row>
    <row r="44">
      <c r="A44" s="1" t="s">
        <v>504</v>
      </c>
      <c r="B44" s="1" t="s">
        <v>504</v>
      </c>
      <c r="C44" s="1" t="s">
        <v>504</v>
      </c>
      <c r="D44" s="1" t="s">
        <v>504</v>
      </c>
      <c r="E44" s="22" t="s">
        <v>870</v>
      </c>
      <c r="F44" s="17" t="s">
        <v>871</v>
      </c>
      <c r="G44" s="17">
        <v>2.25</v>
      </c>
      <c r="H44" s="17" t="s">
        <v>1921</v>
      </c>
    </row>
    <row r="45">
      <c r="A45" s="1" t="s">
        <v>504</v>
      </c>
      <c r="B45" s="1" t="s">
        <v>504</v>
      </c>
      <c r="C45" s="1" t="s">
        <v>504</v>
      </c>
      <c r="D45" s="1" t="s">
        <v>504</v>
      </c>
      <c r="E45" s="22" t="s">
        <v>993</v>
      </c>
      <c r="F45" s="17" t="s">
        <v>1922</v>
      </c>
      <c r="G45" s="17">
        <v>2.88</v>
      </c>
      <c r="H45" s="17" t="s">
        <v>207</v>
      </c>
    </row>
    <row r="46">
      <c r="A46" s="1" t="s">
        <v>504</v>
      </c>
      <c r="B46" s="1" t="s">
        <v>504</v>
      </c>
      <c r="C46" s="1" t="s">
        <v>504</v>
      </c>
      <c r="D46" s="1" t="s">
        <v>504</v>
      </c>
      <c r="E46" s="22" t="s">
        <v>872</v>
      </c>
      <c r="F46" s="17" t="s">
        <v>873</v>
      </c>
      <c r="G46" s="17">
        <v>2.25</v>
      </c>
      <c r="H46" s="17" t="s">
        <v>1921</v>
      </c>
    </row>
    <row r="47">
      <c r="A47" s="1" t="s">
        <v>504</v>
      </c>
      <c r="B47" s="1" t="s">
        <v>504</v>
      </c>
      <c r="C47" s="1" t="s">
        <v>504</v>
      </c>
      <c r="D47" s="1" t="s">
        <v>504</v>
      </c>
      <c r="E47" s="22" t="s">
        <v>531</v>
      </c>
      <c r="F47" s="17" t="s">
        <v>532</v>
      </c>
      <c r="G47" s="17">
        <v>2.88</v>
      </c>
      <c r="H47" s="17" t="s">
        <v>1920</v>
      </c>
    </row>
    <row r="48">
      <c r="A48" s="1" t="s">
        <v>504</v>
      </c>
      <c r="B48" s="1" t="s">
        <v>504</v>
      </c>
      <c r="C48" s="1" t="s">
        <v>504</v>
      </c>
      <c r="D48" s="1" t="s">
        <v>504</v>
      </c>
      <c r="E48" s="22" t="s">
        <v>543</v>
      </c>
      <c r="F48" s="17" t="s">
        <v>544</v>
      </c>
      <c r="G48" s="17">
        <v>1.2</v>
      </c>
      <c r="H48" s="17" t="s">
        <v>270</v>
      </c>
    </row>
    <row r="49">
      <c r="A49" s="1" t="s">
        <v>19</v>
      </c>
      <c r="B49" s="1" t="s">
        <v>20</v>
      </c>
      <c r="C49" s="1" t="s">
        <v>21</v>
      </c>
      <c r="D49" s="1" t="s">
        <v>22</v>
      </c>
      <c r="E49" s="22">
        <v>5.22990442067441E14</v>
      </c>
      <c r="F49" s="17" t="s">
        <v>346</v>
      </c>
      <c r="G49" s="17">
        <v>1.44</v>
      </c>
      <c r="H49" s="17" t="s">
        <v>207</v>
      </c>
    </row>
    <row r="50">
      <c r="A50" s="1" t="s">
        <v>19</v>
      </c>
      <c r="B50" s="1" t="s">
        <v>20</v>
      </c>
      <c r="C50" s="1" t="s">
        <v>21</v>
      </c>
      <c r="D50" s="1" t="s">
        <v>22</v>
      </c>
      <c r="E50" s="22">
        <v>5.22676325343061E14</v>
      </c>
      <c r="F50" s="17" t="s">
        <v>68</v>
      </c>
      <c r="G50" s="17">
        <v>1.64</v>
      </c>
      <c r="H50" s="17" t="s">
        <v>69</v>
      </c>
    </row>
    <row r="51">
      <c r="A51" s="1" t="s">
        <v>19</v>
      </c>
      <c r="B51" s="1" t="s">
        <v>20</v>
      </c>
      <c r="C51" s="1" t="s">
        <v>21</v>
      </c>
      <c r="D51" s="1" t="s">
        <v>22</v>
      </c>
      <c r="E51" s="22">
        <v>5.22533143067011E14</v>
      </c>
      <c r="F51" s="17" t="s">
        <v>267</v>
      </c>
      <c r="G51" s="17">
        <v>1.8</v>
      </c>
      <c r="H51" s="17" t="s">
        <v>256</v>
      </c>
    </row>
    <row r="52">
      <c r="A52" s="1" t="s">
        <v>369</v>
      </c>
      <c r="B52" s="1" t="s">
        <v>20</v>
      </c>
      <c r="C52" s="1" t="s">
        <v>21</v>
      </c>
      <c r="D52" s="1" t="s">
        <v>370</v>
      </c>
      <c r="E52" s="1" t="s">
        <v>402</v>
      </c>
      <c r="F52" s="1" t="s">
        <v>403</v>
      </c>
      <c r="G52" s="1">
        <v>2.13</v>
      </c>
      <c r="H52" s="11" t="s">
        <v>404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2025-12-30T20:41:37Z</dcterms:created>
</cp:coreProperties>
</file>