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sos Nacionales" sheetId="1" state="visible" r:id="rId3"/>
    <sheet name="Pisos Importados" sheetId="2" state="visible" r:id="rId4"/>
    <sheet name="Polvos" sheetId="3" state="visible" r:id="rId5"/>
    <sheet name="Ceramica-Griferia" sheetId="4" state="visible" r:id="rId6"/>
    <sheet name="Otras Categorias" sheetId="5" state="visible" r:id="rId7"/>
    <sheet name="Descontinuados" sheetId="6" state="visible" r:id="rId8"/>
    <sheet name="51-Promo del me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<sst xmlns="http://schemas.openxmlformats.org/spreadsheetml/2006/main" count="7832" uniqueCount="1923">
  <si>
    <t xml:space="preserve">Proveedor</t>
  </si>
  <si>
    <t xml:space="preserve">Estatus</t>
  </si>
  <si>
    <t xml:space="preserve">Categoría</t>
  </si>
  <si>
    <t xml:space="preserve">Subcategoria</t>
  </si>
  <si>
    <t xml:space="preserve">Codigo</t>
  </si>
  <si>
    <t xml:space="preserve">Descripcion </t>
  </si>
  <si>
    <t xml:space="preserve">Udm</t>
  </si>
  <si>
    <t xml:space="preserve">Metraje</t>
  </si>
  <si>
    <t xml:space="preserve">Formato</t>
  </si>
  <si>
    <t xml:space="preserve">Tipo</t>
  </si>
  <si>
    <t xml:space="preserve">Tipologia </t>
  </si>
  <si>
    <t xml:space="preserve">Color</t>
  </si>
  <si>
    <t xml:space="preserve">Acabado</t>
  </si>
  <si>
    <t xml:space="preserve">Corte</t>
  </si>
  <si>
    <t xml:space="preserve">Precio sistema Caja</t>
  </si>
  <si>
    <t xml:space="preserve">Precio Regular M2</t>
  </si>
  <si>
    <t xml:space="preserve">Descuento autorizado Oferta Final </t>
  </si>
  <si>
    <t xml:space="preserve">Oferta Final M2 </t>
  </si>
  <si>
    <t xml:space="preserve">Precio M2 con complementos</t>
  </si>
  <si>
    <t xml:space="preserve">Vitromex</t>
  </si>
  <si>
    <t xml:space="preserve">Master</t>
  </si>
  <si>
    <t xml:space="preserve">Pisos </t>
  </si>
  <si>
    <t xml:space="preserve">Pisos Vitromex</t>
  </si>
  <si>
    <t xml:space="preserve">PISO ROMA HUESO 37X37 CM 2.11 M2</t>
  </si>
  <si>
    <t xml:space="preserve">M2</t>
  </si>
  <si>
    <t xml:space="preserve">37x37</t>
  </si>
  <si>
    <t xml:space="preserve">Cerámico</t>
  </si>
  <si>
    <t xml:space="preserve">Marmol</t>
  </si>
  <si>
    <t xml:space="preserve">Beige</t>
  </si>
  <si>
    <t xml:space="preserve">Mate</t>
  </si>
  <si>
    <t xml:space="preserve">No Rectificado</t>
  </si>
  <si>
    <t xml:space="preserve">PISO ROMA GRIS 37X37 CM 2.11 M2/CAJA</t>
  </si>
  <si>
    <t xml:space="preserve">Gris</t>
  </si>
  <si>
    <t xml:space="preserve">PISO ROMA ARENA 37X37CM 2.11M2/CAJA</t>
  </si>
  <si>
    <t xml:space="preserve">520256427010131LOT</t>
  </si>
  <si>
    <t xml:space="preserve">MURO ROMA HUESO 20.1X30.2 CM 1.82 M2/CAJA</t>
  </si>
  <si>
    <t xml:space="preserve">20.1x30.2</t>
  </si>
  <si>
    <t xml:space="preserve">MURO ROMA GRIS 20.1X30.2 CM 1.82 M2/CAJA</t>
  </si>
  <si>
    <t xml:space="preserve">520256427026131LOT</t>
  </si>
  <si>
    <t xml:space="preserve">MURO ROMA ARENA 20.1X30.2 CM 1.82 M2/CAJA</t>
  </si>
  <si>
    <t xml:space="preserve">PISO BRUMA BLANCO 35.7X35.7 1.78 M2</t>
  </si>
  <si>
    <t xml:space="preserve">35.7x35.7</t>
  </si>
  <si>
    <t xml:space="preserve">Piedra</t>
  </si>
  <si>
    <t xml:space="preserve">Brillante</t>
  </si>
  <si>
    <t xml:space="preserve">PISO MILA BEIGE35.7x35.7 1.78 M2</t>
  </si>
  <si>
    <t xml:space="preserve">Daltile</t>
  </si>
  <si>
    <t xml:space="preserve">Pisos Daltile</t>
  </si>
  <si>
    <t xml:space="preserve">GZ3515151P7</t>
  </si>
  <si>
    <t xml:space="preserve">GZ35 37x37cm Navia Beige 1a. Cal  2.11M2</t>
  </si>
  <si>
    <t xml:space="preserve">GZ3615151P7</t>
  </si>
  <si>
    <t xml:space="preserve">GZ36 37x37cm Navia Gris 1a. Cal 2.11M2</t>
  </si>
  <si>
    <t xml:space="preserve">520963427010131LOT</t>
  </si>
  <si>
    <t xml:space="preserve">MURO ASPEN HUESO 20.1X30.2CM 1.82M2/CAJA</t>
  </si>
  <si>
    <t xml:space="preserve">520963425010261LOT</t>
  </si>
  <si>
    <t xml:space="preserve">PISO ASPEN HUESO 35.7X35.7 CM 1.78 M2</t>
  </si>
  <si>
    <t xml:space="preserve">PISO ASPEN BLANCO 35.7X35.7 CM 1.78 M2/CAJA</t>
  </si>
  <si>
    <t xml:space="preserve">Blanco</t>
  </si>
  <si>
    <t xml:space="preserve">PISO COSALA HAYA 35.7X35.7 CM 1.78 M2/CAJA</t>
  </si>
  <si>
    <t xml:space="preserve">Madera</t>
  </si>
  <si>
    <t xml:space="preserve">Café</t>
  </si>
  <si>
    <t xml:space="preserve">PISO XILITLA BLANCO 35.7X35.7 CM 1.78 M2/CAJA</t>
  </si>
  <si>
    <t xml:space="preserve">Monocolor</t>
  </si>
  <si>
    <t xml:space="preserve">PISO MARISMA NEGRO 37x37 CM 2.11 M2/CAJA</t>
  </si>
  <si>
    <t xml:space="preserve">Negro</t>
  </si>
  <si>
    <t xml:space="preserve">PISO ROMA HUESO 40.3X40.3 CM 1.62 M2</t>
  </si>
  <si>
    <t xml:space="preserve">40.3x40.3</t>
  </si>
  <si>
    <t xml:space="preserve">PISO ROMA GRIS 40.3X40.3 CM 1.62 M2 CAJA</t>
  </si>
  <si>
    <t xml:space="preserve">PISO ROMA ARENA 40.3X40.3 CM 1.62 M2 CAJA</t>
  </si>
  <si>
    <t xml:space="preserve">PISO CHAPALA FRESNO 18X60.6 CM 1.64 M2/CAJA</t>
  </si>
  <si>
    <t xml:space="preserve">18x60.6</t>
  </si>
  <si>
    <t xml:space="preserve">PISO CHAPALA PINO 18X60.6 CM 1.64 M2/CAJA</t>
  </si>
  <si>
    <t xml:space="preserve">PISO CHAPALA ALBINO 18X60.6 CM 1.64 M2/CAJA</t>
  </si>
  <si>
    <t xml:space="preserve">PISO CHAPALA MIEL 18X60.6 CM 1.64 M2/CAJA</t>
  </si>
  <si>
    <t xml:space="preserve">MURO MAZAMITLA AZUL 20.1X30.2 CM 1.82 M2/CAJA</t>
  </si>
  <si>
    <t xml:space="preserve">Azul</t>
  </si>
  <si>
    <t xml:space="preserve">MURO MAZAMITLA CREMA 20.1X30.2 CM 1.82 M2/CAJA</t>
  </si>
  <si>
    <t xml:space="preserve">MURO MAZAMITLA GRIS 20.1X30.2 CM 1.82 M2/CAJA</t>
  </si>
  <si>
    <t xml:space="preserve">MURO MAZAMITLA VERDE 20.1X30.2 CM 1.82 M2/CAJA</t>
  </si>
  <si>
    <t xml:space="preserve">Verde</t>
  </si>
  <si>
    <t xml:space="preserve">PISO MARMOLIZA BLANCO 35.7X35.7 1.78 M2</t>
  </si>
  <si>
    <t xml:space="preserve">PISO CHAPALA ABEDUL 18X60.6 CM 1.64 M2/CAJA</t>
  </si>
  <si>
    <t xml:space="preserve">GSZ12424C1P7</t>
  </si>
  <si>
    <t xml:space="preserve">GSZ1 60.5 cm x 60.5 cm Spazio Cream 1a. Cal. 1.825M2</t>
  </si>
  <si>
    <t xml:space="preserve">60.5x60.5</t>
  </si>
  <si>
    <t xml:space="preserve">PISO CANEA GRIS 45X45 CM 1.62 M2/CAJA</t>
  </si>
  <si>
    <t xml:space="preserve">45x45</t>
  </si>
  <si>
    <t xml:space="preserve">PISO CANEA MARRON 45X45 CM 1.62 M2/CAJA</t>
  </si>
  <si>
    <t xml:space="preserve">PISO CORFÚ BEIGE 45X45 CM 1.62 M2/CAJA</t>
  </si>
  <si>
    <t xml:space="preserve">PISO CORFÚ GRAFITO 45X45 CM 1.62M2 CAJA</t>
  </si>
  <si>
    <t xml:space="preserve">PISO VELVET MARFIL 45X45 CM 1.62 M2 CAJA</t>
  </si>
  <si>
    <t xml:space="preserve">ZLC015151P7</t>
  </si>
  <si>
    <t xml:space="preserve">ZLC0 37cm x 37cm Lucca Bianco 1a Cal. 2.11M2</t>
  </si>
  <si>
    <t xml:space="preserve">Renujal</t>
  </si>
  <si>
    <t xml:space="preserve">Pisos Renujal </t>
  </si>
  <si>
    <t xml:space="preserve">CAS2005 </t>
  </si>
  <si>
    <t xml:space="preserve">PISO OLYMPIA BIANCO 47X47 1.99M2</t>
  </si>
  <si>
    <t xml:space="preserve">47X47</t>
  </si>
  <si>
    <t xml:space="preserve">blanco</t>
  </si>
  <si>
    <t xml:space="preserve">Brillo</t>
  </si>
  <si>
    <t xml:space="preserve">Rectificado</t>
  </si>
  <si>
    <t xml:space="preserve">CAS20008</t>
  </si>
  <si>
    <t xml:space="preserve">PISO CARRARA GOLD 47X47 1.99M2</t>
  </si>
  <si>
    <t xml:space="preserve">CAS10024510</t>
  </si>
  <si>
    <t xml:space="preserve">HALO 66 IVORY 60X60 5 PZS 1.80M2</t>
  </si>
  <si>
    <t xml:space="preserve">60X60</t>
  </si>
  <si>
    <t xml:space="preserve">CAS10024511</t>
  </si>
  <si>
    <t xml:space="preserve">HALO 66 SILVER 60X60 5 PZS 1.80M2</t>
  </si>
  <si>
    <t xml:space="preserve">PISO AMAZONIAN CLIFF 18X60.6 CM 1.64 M2/CAJA TE</t>
  </si>
  <si>
    <t xml:space="preserve">CAS100138</t>
  </si>
  <si>
    <t xml:space="preserve">TANGER 26 ROBLE 22.5X60 14PZ 1.89M2</t>
  </si>
  <si>
    <t xml:space="preserve">22.5X60</t>
  </si>
  <si>
    <t xml:space="preserve">CAS100192</t>
  </si>
  <si>
    <t xml:space="preserve">TANGER 26 NOGAL 22.5X60 14PZ 1.89M2</t>
  </si>
  <si>
    <t xml:space="preserve">CAS100144</t>
  </si>
  <si>
    <t xml:space="preserve">TANGER 26 GRIS 22.5X60 14PZ 1.89M2</t>
  </si>
  <si>
    <t xml:space="preserve">CAS100184</t>
  </si>
  <si>
    <t xml:space="preserve">PISO FRESNO 26 NUEZ 22.5X60 14PZ 1.89M2</t>
  </si>
  <si>
    <t xml:space="preserve">CAS7694</t>
  </si>
  <si>
    <t xml:space="preserve">PISO AMAZONAS HONEY 22.5X60 1.89 M2</t>
  </si>
  <si>
    <t xml:space="preserve">ZDM1720B1P2</t>
  </si>
  <si>
    <t xml:space="preserve">ZDM1 18X50 Sunwood Natural 1a. Cal 1.08M2</t>
  </si>
  <si>
    <t xml:space="preserve">18x50</t>
  </si>
  <si>
    <t xml:space="preserve">GLD3720B1P2</t>
  </si>
  <si>
    <t xml:space="preserve">GLD3 18 cm x 50 cm Legend Natural 1a. Cal 1.08M2</t>
  </si>
  <si>
    <t xml:space="preserve">ZDM27241</t>
  </si>
  <si>
    <t xml:space="preserve">ZDM2 18 cm x 60 cm Sunwood Miel 1a. Cal 1.64 m2</t>
  </si>
  <si>
    <t xml:space="preserve">18x60</t>
  </si>
  <si>
    <t xml:space="preserve">ZLW57241</t>
  </si>
  <si>
    <t xml:space="preserve">ZLW5 18 cm x 60 cm Living Wood Gray 1a. Cal 1.64 m2</t>
  </si>
  <si>
    <t xml:space="preserve">CAS7695</t>
  </si>
  <si>
    <t xml:space="preserve">PISO AMAZONAS GREY 22.5X60 1.89 M2</t>
  </si>
  <si>
    <t xml:space="preserve">gris</t>
  </si>
  <si>
    <t xml:space="preserve">CAS7693</t>
  </si>
  <si>
    <t xml:space="preserve">PISO AMAZONAS CHERRY 22.5X60 1.89 M2</t>
  </si>
  <si>
    <t xml:space="preserve">CAS100145</t>
  </si>
  <si>
    <t xml:space="preserve">FRESNO 26 GRIS 22.5X60 14PZ 1.89M2</t>
  </si>
  <si>
    <t xml:space="preserve">CAS100137</t>
  </si>
  <si>
    <t xml:space="preserve">FRESNO 26 CHERRY 22.5X60 14PZ 1.89M2</t>
  </si>
  <si>
    <t xml:space="preserve">GZ3518181P7</t>
  </si>
  <si>
    <t xml:space="preserve">GZ35 45x45 Navia Beige 1a. Cal 1.63M2</t>
  </si>
  <si>
    <t xml:space="preserve">GZ3618181P7</t>
  </si>
  <si>
    <t xml:space="preserve">GZ36 45x45 Navia Gris 1a. Cal 1.63M2</t>
  </si>
  <si>
    <t xml:space="preserve">ZLC018181P7</t>
  </si>
  <si>
    <t xml:space="preserve">ZLC0 45x45 Lucca Bianco 1a Cal 1.63M2</t>
  </si>
  <si>
    <t xml:space="preserve">CAS10024503</t>
  </si>
  <si>
    <t xml:space="preserve">CALI 66 IVORY 60X60 5 PZS 1.80M2</t>
  </si>
  <si>
    <t xml:space="preserve">PISO ROMA ARENA 20.1X20.1 CM 1.53 M2 CAJA</t>
  </si>
  <si>
    <t xml:space="preserve">20.1x20.1</t>
  </si>
  <si>
    <t xml:space="preserve">PISO PERLAGE GRIS 20.1X20.1 CM 1.53 M2/CAJA</t>
  </si>
  <si>
    <t xml:space="preserve">PISO ALASKA BLACKBURN 45X45CM 1.62M2 CAJA</t>
  </si>
  <si>
    <t xml:space="preserve">PISO MAYA MULTICOLOR 45X45 CM 1.62 M2 CAJA</t>
  </si>
  <si>
    <t xml:space="preserve">PISO SENA MARFIL 45X45 CM 1.62 M2/CAJA</t>
  </si>
  <si>
    <t xml:space="preserve">PISO PETRERA GRIS 55.5X55.5 CM 1.54 M2/CAJA</t>
  </si>
  <si>
    <t xml:space="preserve">55.5x55.5</t>
  </si>
  <si>
    <t xml:space="preserve">Granito</t>
  </si>
  <si>
    <t xml:space="preserve">CAS10024505</t>
  </si>
  <si>
    <t xml:space="preserve">CALI 66 GREY 60X60 5 PZS 1.80M2</t>
  </si>
  <si>
    <t xml:space="preserve">CAS10024504</t>
  </si>
  <si>
    <t xml:space="preserve">CALI 66 WHITE 60X60 5 PZS 1.80M2</t>
  </si>
  <si>
    <t xml:space="preserve">CAS10024501</t>
  </si>
  <si>
    <t xml:space="preserve">GEO 66 IVORY 60X60 5 PZS 1.80M2</t>
  </si>
  <si>
    <t xml:space="preserve">CAS10024502</t>
  </si>
  <si>
    <t xml:space="preserve">GEO 66 SILVER 60X60 5 PZS 1.80M2</t>
  </si>
  <si>
    <t xml:space="preserve">CAS7691</t>
  </si>
  <si>
    <t xml:space="preserve">ACURA 66 GREY 60X60 1.80M2</t>
  </si>
  <si>
    <t xml:space="preserve">CAS10024509</t>
  </si>
  <si>
    <t xml:space="preserve">CALEDONIA 66 HAYA 60X60 5 PZS 1.80M2</t>
  </si>
  <si>
    <t xml:space="preserve">CAS10024508</t>
  </si>
  <si>
    <t xml:space="preserve">CALEDONIA 66 ROBLE 60X60 5 PZS 1.80M2</t>
  </si>
  <si>
    <t xml:space="preserve">PISO ARCTIC BLANCO 55.5x55.5 1.54 M2</t>
  </si>
  <si>
    <t xml:space="preserve">CAS786</t>
  </si>
  <si>
    <t xml:space="preserve">TULUM 60 STAR 60X60 5PZ 1.80M2</t>
  </si>
  <si>
    <t xml:space="preserve">CAS7692</t>
  </si>
  <si>
    <t xml:space="preserve">ACURA 66 TERRA 60X60 1.80M2</t>
  </si>
  <si>
    <t xml:space="preserve">CAS100154</t>
  </si>
  <si>
    <t xml:space="preserve">PISO CERAMICO TRAVERTINO BIANCO 60X60 1.80M2 5PZ</t>
  </si>
  <si>
    <t xml:space="preserve">Recto</t>
  </si>
  <si>
    <t xml:space="preserve">CAS775</t>
  </si>
  <si>
    <t xml:space="preserve">DOLOMITTI 66 IVORY 60X60 5PZ 1.80M2</t>
  </si>
  <si>
    <t xml:space="preserve">CAS774</t>
  </si>
  <si>
    <t xml:space="preserve">DOLOMITTI 66 BLACK 60X60 5PZ 1.80M2</t>
  </si>
  <si>
    <t xml:space="preserve">PISO VERONA GREY 20.1X20.1 CM 1.53 M2/CAJA</t>
  </si>
  <si>
    <t xml:space="preserve">PISO MONACO GRIS 20.1X20.1 CM 1.53 M2/CAJA</t>
  </si>
  <si>
    <t xml:space="preserve">PISO MONACO CAFE 20.1X20.1 CM 1.53 M2/CAJA</t>
  </si>
  <si>
    <t xml:space="preserve">PISO LISBOA GRIS 20.1X20.1 CM 1.53 M2/CAJA</t>
  </si>
  <si>
    <t xml:space="preserve">PISO LISBOA ALMENDRA 20.1X20.1 CM 1.53 M2/CAJA</t>
  </si>
  <si>
    <t xml:space="preserve">PISO LEMAT BEIGE 20.1X20.1 CM 1.53 M2 CAJA</t>
  </si>
  <si>
    <t xml:space="preserve">TESSUTI MIX 20.1X20.1 1.53M2</t>
  </si>
  <si>
    <t xml:space="preserve">PISO RODANO HUESO 55.5X55.5 CM 1.54 M2/CAJA</t>
  </si>
  <si>
    <t xml:space="preserve">522786279028201LOTE</t>
  </si>
  <si>
    <t xml:space="preserve">PISO NOVARA BEIGE 55.5X55.5 CM 1.54 M2 CAJA</t>
  </si>
  <si>
    <t xml:space="preserve">PISO NOVARA GRIGIO 55.5X55.5 CM 1.54 M2 CAJA</t>
  </si>
  <si>
    <t xml:space="preserve">PISO NOVARA NUBE 55.5X55.55 1.54 M2 CAJA</t>
  </si>
  <si>
    <t xml:space="preserve">55.5x55.55</t>
  </si>
  <si>
    <t xml:space="preserve">PISO BOUTIQUE CEMENTO 60.5X60.5 CM 1.83 M2</t>
  </si>
  <si>
    <t xml:space="preserve">Cemento</t>
  </si>
  <si>
    <t xml:space="preserve">PISO MARMARA BLANCO 60.5X60.5 CM 1.83 M2/CAJA</t>
  </si>
  <si>
    <t xml:space="preserve">CAS769</t>
  </si>
  <si>
    <t xml:space="preserve">VOSS 66 IVORY 60X60 5PZ 1.80M2</t>
  </si>
  <si>
    <t xml:space="preserve">PISO AMAZONIAN CAVE 18X60.6 CM 1.64 M2/CAJA</t>
  </si>
  <si>
    <t xml:space="preserve">PISO AMAZONIAN RIVER 18X60.6 CM 1.64 M2/CAJA TE</t>
  </si>
  <si>
    <t xml:space="preserve">MURO OSLO BLANCO 35.7X50.2 CM 1.79 M2/CAJA</t>
  </si>
  <si>
    <t xml:space="preserve">35.7x50.2</t>
  </si>
  <si>
    <t xml:space="preserve">PISO MARSALA ANTRACITA 60.5X60.5 CM 1.83 M2/CAJA</t>
  </si>
  <si>
    <t xml:space="preserve">PISO MARSALA NIEVE 60.5X60.5 CM 1.83 M2/CAJA</t>
  </si>
  <si>
    <t xml:space="preserve">PISO KAISER BR NEGRO 60.5X60.5 CM 1.83 M2/CAJA</t>
  </si>
  <si>
    <t xml:space="preserve">PISO EDIMBURGO NEGRO 60 CM X120 CM 1.44 M2/CAJA PUL Y RECT</t>
  </si>
  <si>
    <t xml:space="preserve">60x120</t>
  </si>
  <si>
    <t xml:space="preserve">Porcelánico</t>
  </si>
  <si>
    <t xml:space="preserve">Pulido</t>
  </si>
  <si>
    <t xml:space="preserve">PISO MARSALA ARENA 62.1X62.1 CM 1.93M2</t>
  </si>
  <si>
    <t xml:space="preserve">62.1x62.1</t>
  </si>
  <si>
    <t xml:space="preserve">PISO MARSALA NIEVE 62.1X62.1CM 1.93M2</t>
  </si>
  <si>
    <t xml:space="preserve">CAS768</t>
  </si>
  <si>
    <t xml:space="preserve">DOM WHITE SATINADO 60X60 5PZ 1.80M2</t>
  </si>
  <si>
    <t xml:space="preserve">Satinado</t>
  </si>
  <si>
    <t xml:space="preserve">CAS771</t>
  </si>
  <si>
    <t xml:space="preserve">DOLOMITTI 66 GRAY 60X60 5PZ 1.80M2</t>
  </si>
  <si>
    <t xml:space="preserve">CAS777</t>
  </si>
  <si>
    <t xml:space="preserve">MYST 66 GRAY 60X60 5PZ 1.80M2</t>
  </si>
  <si>
    <t xml:space="preserve">Estructurado</t>
  </si>
  <si>
    <t xml:space="preserve">GSS11224RC1P7</t>
  </si>
  <si>
    <t xml:space="preserve">GSS1 30 cm x 60 cm Rect. Sandstone Beige 1a. Cal 1.44M2</t>
  </si>
  <si>
    <t xml:space="preserve">30x60</t>
  </si>
  <si>
    <t xml:space="preserve">ZKL615151P7</t>
  </si>
  <si>
    <t xml:space="preserve">ZKL6 37 cm x 37 cm Kalei Retro Black 1a. Cal 2.11M2</t>
  </si>
  <si>
    <t xml:space="preserve">Geométrico</t>
  </si>
  <si>
    <t xml:space="preserve">ZAA715151P7</t>
  </si>
  <si>
    <t xml:space="preserve">ZAA7 37cm x 37 cm Alpha Gris 1a. Cal 2.11M2</t>
  </si>
  <si>
    <t xml:space="preserve">ZAA515151P7</t>
  </si>
  <si>
    <t xml:space="preserve">ZAA5 37 cm x 37 cm Alpha Rojo 1a. Cal 2.11M2</t>
  </si>
  <si>
    <t xml:space="preserve">Rojo</t>
  </si>
  <si>
    <t xml:space="preserve">ZCN815151P7</t>
  </si>
  <si>
    <t xml:space="preserve">ZCN8 37 cm x 37 cm Colonial Elena 1a. Cal. 2.11M2</t>
  </si>
  <si>
    <t xml:space="preserve">Multicolor</t>
  </si>
  <si>
    <t xml:space="preserve">ZCN915151P7</t>
  </si>
  <si>
    <t xml:space="preserve">ZCN9 37 cm x 37 cm Colonial Frida 1a. Cal 2.11M2</t>
  </si>
  <si>
    <t xml:space="preserve">ZLM215151P7</t>
  </si>
  <si>
    <t xml:space="preserve">ZLM2 37cm x 37 cm Lumiere Blanco 1a. Cal 2.11M2</t>
  </si>
  <si>
    <t xml:space="preserve">ZCA52424C1P7</t>
  </si>
  <si>
    <t xml:space="preserve">ZCA5 60.5 cm x 60.5 cm Cantabria Avorio 1a. Cal 1.82M2</t>
  </si>
  <si>
    <t xml:space="preserve">CAS785</t>
  </si>
  <si>
    <t xml:space="preserve">TULUM 60 SAND 60X60 5PZ 1.80M2</t>
  </si>
  <si>
    <t xml:space="preserve">PISO MALIBU-AD BLANCO 20.1X20.1 CM 1.53 M2 CAJA</t>
  </si>
  <si>
    <t xml:space="preserve">PISO SPRITZ WHITE 20.1X20.1CM 1.53 M2</t>
  </si>
  <si>
    <t xml:space="preserve">PISO SPRITZ BLACK 20.1x20.1CM 1.53 M2</t>
  </si>
  <si>
    <t xml:space="preserve">PISO ALPINO BR ORO 60.5x60.5 CM 1.83 M2/CAJA</t>
  </si>
  <si>
    <t xml:space="preserve">CAS776</t>
  </si>
  <si>
    <t xml:space="preserve">MYST 66 BLACK 60X60 5PZ 1.80M2</t>
  </si>
  <si>
    <t xml:space="preserve">CAS772</t>
  </si>
  <si>
    <t xml:space="preserve">DOM WHITE BRILLO 60X60 5PZ 1.80M2</t>
  </si>
  <si>
    <t xml:space="preserve">CAS1411</t>
  </si>
  <si>
    <t xml:space="preserve">PISO CIPRIANI GREY 30X60 11PZ 1.98 M2</t>
  </si>
  <si>
    <t xml:space="preserve">30X60</t>
  </si>
  <si>
    <t xml:space="preserve">ZA612424RC1P7</t>
  </si>
  <si>
    <t xml:space="preserve">ZA61 60x60 cm Rect. Aurora Bianco 1a. Cal 1.8M2</t>
  </si>
  <si>
    <t xml:space="preserve">60x60</t>
  </si>
  <si>
    <t xml:space="preserve">ZLC02424RC1P7</t>
  </si>
  <si>
    <t xml:space="preserve">ZLC0 60 cm x 60 cm Rect. Lucca Bianco 1a. Cal. 1.8M2</t>
  </si>
  <si>
    <t xml:space="preserve">MURO MEDITERRANEO AZUL 28X60 CM 1.68 M2/CAJA 10 PZ</t>
  </si>
  <si>
    <t xml:space="preserve">28x60</t>
  </si>
  <si>
    <t xml:space="preserve">MURO MEDITERRANEO BLANCO 28X60 CM 1.68 M2/CAJA 10 PZ</t>
  </si>
  <si>
    <t xml:space="preserve">MURO MEDITERRANEO CREMA 28X60 CM 1.68 M2/CAJA 10 PZ</t>
  </si>
  <si>
    <t xml:space="preserve">Crema</t>
  </si>
  <si>
    <t xml:space="preserve">MURO MEDITERRANEO GRIS 28X60 CM 1.68 M2/CAJA 10 PZ</t>
  </si>
  <si>
    <t xml:space="preserve">MURO MEDITERRANEO NEGRO 28X60 CM 1.68 M2/CAJA 10 PZ</t>
  </si>
  <si>
    <t xml:space="preserve">MURO MEDITERRANEO VERDE 28X60 CM 1.68 M2/CAJA 10 PZ</t>
  </si>
  <si>
    <t xml:space="preserve">PISO NAPA BR WHITE 60X60 CM 1.8 M2/CAJA RECT</t>
  </si>
  <si>
    <t xml:space="preserve">GLD4848RB1P7</t>
  </si>
  <si>
    <t xml:space="preserve">GLD4 20 cm x 120 Rect. Legend Brown 1a. Cal 1.19M2</t>
  </si>
  <si>
    <t xml:space="preserve">20x120</t>
  </si>
  <si>
    <t xml:space="preserve">CAS9407</t>
  </si>
  <si>
    <t xml:space="preserve">PISO MADEIRA 32 COFFE 30X120 1.76 M2</t>
  </si>
  <si>
    <t xml:space="preserve">30X120</t>
  </si>
  <si>
    <t xml:space="preserve">CAS9408</t>
  </si>
  <si>
    <t xml:space="preserve">PISO MADEIRA 32 SAND 30X120 1.76 M2</t>
  </si>
  <si>
    <t xml:space="preserve">CAS100147</t>
  </si>
  <si>
    <t xml:space="preserve">PISO BLUES CAFE 60X120 1.42M2</t>
  </si>
  <si>
    <t xml:space="preserve">60X120</t>
  </si>
  <si>
    <t xml:space="preserve">CAS100134</t>
  </si>
  <si>
    <t xml:space="preserve">PISO VOLCANO OXFORD 60X120 2PZ 1.42M2</t>
  </si>
  <si>
    <t xml:space="preserve">PISO BERNAL GRIS 60.5X60.5 CM 1.83 M2/CAJA</t>
  </si>
  <si>
    <t xml:space="preserve">Cantera</t>
  </si>
  <si>
    <t xml:space="preserve">PISO BERNAL GRAFITO 60.5x60.5 CM 1.83 M2/CAJA</t>
  </si>
  <si>
    <t xml:space="preserve">CAS9409</t>
  </si>
  <si>
    <t xml:space="preserve">PISO MADEIRA 32 SILVER 30X120 1.76 M2</t>
  </si>
  <si>
    <t xml:space="preserve">CAS94010</t>
  </si>
  <si>
    <t xml:space="preserve">PISO RECT NORUEGA 22 GRIS 20X120 1.83M2</t>
  </si>
  <si>
    <t xml:space="preserve">20X120</t>
  </si>
  <si>
    <t xml:space="preserve">CAS100133</t>
  </si>
  <si>
    <t xml:space="preserve">PISO VOLCANO GREY 60X120 2PZ 1.42M2</t>
  </si>
  <si>
    <t xml:space="preserve">CAS100123</t>
  </si>
  <si>
    <t xml:space="preserve">PISO MOON SILVER 60X120 2PZ 1.42M2</t>
  </si>
  <si>
    <t xml:space="preserve">PISO BERNAL GRIS 51X102 1.57 M2</t>
  </si>
  <si>
    <t xml:space="preserve">51x102</t>
  </si>
  <si>
    <t xml:space="preserve">PISO BERNAL GRAFITO 51X102 1.57 M2</t>
  </si>
  <si>
    <t xml:space="preserve">PISO EDIMBURGO NEGRO 80 CM X160 CM 2.56 M2/CAJA PUL Y RECT</t>
  </si>
  <si>
    <t xml:space="preserve">80x160</t>
  </si>
  <si>
    <t xml:space="preserve">PISO MONET CEDRO 16.5X100 CM 0.99 M2/CAJA RECTIFICADO</t>
  </si>
  <si>
    <t xml:space="preserve">16.5x100</t>
  </si>
  <si>
    <t xml:space="preserve">PISO MONET HAYA 16.5X100 1.49 M2 CTDO Y RECTIFICADO</t>
  </si>
  <si>
    <t xml:space="preserve">PISO MONET NOGAL 16.5X100 1.49 M2 RECT</t>
  </si>
  <si>
    <t xml:space="preserve">PISO MONET CENIZA 16.5X100 1.49 M2 CTDO Y RECTIFICADO</t>
  </si>
  <si>
    <t xml:space="preserve">PISO MONET CEDRO 25X100 2.25 M2 RECTIFICADO</t>
  </si>
  <si>
    <t xml:space="preserve">25x100</t>
  </si>
  <si>
    <t xml:space="preserve">PISO MONET NOGAL 25X100 2.25 M2 RECTIFICADO</t>
  </si>
  <si>
    <t xml:space="preserve">PISO MONET CENIZA 25X100 2.25 M2 RECTIFICADO</t>
  </si>
  <si>
    <t xml:space="preserve">PISO MONET HAYA 25X100 2.25 M2 RECTIFICADO</t>
  </si>
  <si>
    <t xml:space="preserve">PISO SAN GABRIEL GRAY 50X100 CM 1.5 M2/CAJA RECT</t>
  </si>
  <si>
    <t xml:space="preserve">50x100</t>
  </si>
  <si>
    <t xml:space="preserve">PISO AMBERES GRIS 50X100 CM 1.5 M2/CAJA RECT</t>
  </si>
  <si>
    <t xml:space="preserve">PISO AMBERES NATURAL 50X100 CM 1.5 M2/CAJA RECT</t>
  </si>
  <si>
    <t xml:space="preserve">PISO CHICAGO GRAY 50X100 CM 2.0 M2/CAJA RECTIFICADO</t>
  </si>
  <si>
    <t xml:space="preserve">PISO TOREO ANTRACITA 50X100 CM 2.0 M2/CAJA RECTIFICADO</t>
  </si>
  <si>
    <t xml:space="preserve">PISO SOHO ALBINO 50X100 CM 2.0 M2/CAJA RECTIFICADO</t>
  </si>
  <si>
    <t xml:space="preserve">PISO LIVING GRIS 50X100 CM 2.0 M2/CAJA RECTIFICADO</t>
  </si>
  <si>
    <t xml:space="preserve">PISO SCANNO GRAY 50X100 CM 2.0 M2/CAJA RECTIFICADO</t>
  </si>
  <si>
    <t xml:space="preserve">PISO MONARCA NIEBLA 50X100 CM 2.0 M2/CAJA RECTIFICADO</t>
  </si>
  <si>
    <t xml:space="preserve">CAS94012</t>
  </si>
  <si>
    <t xml:space="preserve">PISO RECT NORUEGA 22 ROBLE 20X120 1.83M2</t>
  </si>
  <si>
    <t xml:space="preserve">CAS94018</t>
  </si>
  <si>
    <t xml:space="preserve">PISO YUNN 32 NUEZ 30X120 1.76M2</t>
  </si>
  <si>
    <t xml:space="preserve">CAS100118</t>
  </si>
  <si>
    <t xml:space="preserve">PISO IBIZA 62 GOLD SATINADO 60X120 2PZ 1.42M2</t>
  </si>
  <si>
    <t xml:space="preserve">CAS2512</t>
  </si>
  <si>
    <t xml:space="preserve">PISO GINZA 62 PEARL 60X120 2 PZ 1.42 M2</t>
  </si>
  <si>
    <t xml:space="preserve">CAS100116</t>
  </si>
  <si>
    <t xml:space="preserve">PISO ARES SATINADO 60X120 2PZ 1.42M2</t>
  </si>
  <si>
    <t xml:space="preserve">CAS2510</t>
  </si>
  <si>
    <t xml:space="preserve">PISO GRECIA 62 BRILLO 60X120 2PZ 1.42M2</t>
  </si>
  <si>
    <t xml:space="preserve">CAS100194</t>
  </si>
  <si>
    <t xml:space="preserve">AMSTERDAM 62 GREY 60X120 2PZ 1.42M2</t>
  </si>
  <si>
    <t xml:space="preserve">CAS100195</t>
  </si>
  <si>
    <t xml:space="preserve">AMSTERDAM 62 OXFORD 60X120 2PZ 1.42M2</t>
  </si>
  <si>
    <t xml:space="preserve">CAS2513</t>
  </si>
  <si>
    <t xml:space="preserve">PISO IONIC 62 SILVER 60X120 2PZ 1.42M2</t>
  </si>
  <si>
    <t xml:space="preserve">CAS2511</t>
  </si>
  <si>
    <t xml:space="preserve">PISO MARSELLA 62 BRILLO 60X120 2 PZS 1.42 M2</t>
  </si>
  <si>
    <t xml:space="preserve">CAS100167</t>
  </si>
  <si>
    <t xml:space="preserve">EVOKE 62 BLACK 60X120 2 PZ 1.42 M2</t>
  </si>
  <si>
    <t xml:space="preserve">PISO MARMARA PL BLANCO 50X100 2 M2</t>
  </si>
  <si>
    <t xml:space="preserve">PISO RAFAELLO PL CREMA 50X100 2 M2</t>
  </si>
  <si>
    <t xml:space="preserve">PISO SOBERANO PL NERO 50X100 2 M2</t>
  </si>
  <si>
    <t xml:space="preserve">PISO ALPINO PL ORO 50X100 2 M2</t>
  </si>
  <si>
    <t xml:space="preserve">PISO RAFAELLO PL GRIS 50X100 2 M2</t>
  </si>
  <si>
    <t xml:space="preserve">PISO TUNDRA BLANCO 60 CM X 120CM 1.44 M2/CAJA PUL Y RECT</t>
  </si>
  <si>
    <t xml:space="preserve">PISO EVANDER WHITE 60x120 1.44 M2 PUL Y RECT</t>
  </si>
  <si>
    <t xml:space="preserve">CAS100120</t>
  </si>
  <si>
    <t xml:space="preserve">PISO CANTABRIA BEIGE 60X120 2PZ 1.42M2</t>
  </si>
  <si>
    <t xml:space="preserve">beige</t>
  </si>
  <si>
    <t xml:space="preserve">CAS100178</t>
  </si>
  <si>
    <t xml:space="preserve">PISO EVOKE GREY 60X120 1.42M2</t>
  </si>
  <si>
    <t xml:space="preserve">CAS100188</t>
  </si>
  <si>
    <t xml:space="preserve">PISO VOLCANO 62 MARFIL 60X120 2PZ 1.42 M2</t>
  </si>
  <si>
    <t xml:space="preserve">CAS100189</t>
  </si>
  <si>
    <t xml:space="preserve">PISO MINIMAL 62 IVORY 60X120 2PZ 1.42 M2</t>
  </si>
  <si>
    <t xml:space="preserve">CAS100115</t>
  </si>
  <si>
    <t xml:space="preserve">PISO ARES BRILLO 60X120 2PZ 1.42M2</t>
  </si>
  <si>
    <t xml:space="preserve">CAS100207</t>
  </si>
  <si>
    <t xml:space="preserve">PISO MINIMAL 62 SILVER 60X120 2PZ 1.42 M2</t>
  </si>
  <si>
    <t xml:space="preserve">CAS100121</t>
  </si>
  <si>
    <t xml:space="preserve">PISO MOON IVORY 60X120 2PZ 1.42M2</t>
  </si>
  <si>
    <t xml:space="preserve">CAS100218</t>
  </si>
  <si>
    <t xml:space="preserve">PISO PIETRA 62 GRIGIO 60X120 2PZ 1.42 M2</t>
  </si>
  <si>
    <t xml:space="preserve">PISO TARANTO WHITE 60x120 1.44 M2 PUL Y RECT</t>
  </si>
  <si>
    <t xml:space="preserve">PISO ATACAMA GRAFITO 50X100 CM 1.5 M2/CAJA RECTIFICADO 36 CAJAS</t>
  </si>
  <si>
    <t xml:space="preserve">CAS100128</t>
  </si>
  <si>
    <t xml:space="preserve">PISO 62 PIETRA NERO 60X120 2PZ 1.42M2</t>
  </si>
  <si>
    <t xml:space="preserve">negro</t>
  </si>
  <si>
    <t xml:space="preserve">Castel</t>
  </si>
  <si>
    <t xml:space="preserve">Pisos Castel</t>
  </si>
  <si>
    <t xml:space="preserve">CAS100172</t>
  </si>
  <si>
    <t xml:space="preserve">PISO PORCELANICO THASSOS 120 60X120 1.44M2</t>
  </si>
  <si>
    <t xml:space="preserve">ZMS62424RC1P7</t>
  </si>
  <si>
    <t xml:space="preserve">ZMS6 60 cm x 60 cm Rect. Magnus Black 1a. Cal 1.80M2</t>
  </si>
  <si>
    <t xml:space="preserve">CAS100273</t>
  </si>
  <si>
    <t xml:space="preserve">PISO CARRARA GOLD PL 60X120 1.44M2</t>
  </si>
  <si>
    <t xml:space="preserve">CAS10074</t>
  </si>
  <si>
    <t xml:space="preserve">KAPLAN 60X120 2PZ (1.44m2)V.P.</t>
  </si>
  <si>
    <t xml:space="preserve">CAS10088</t>
  </si>
  <si>
    <t xml:space="preserve">PISO BUSAN MATE WHITE 60X120 1.44M2</t>
  </si>
  <si>
    <t xml:space="preserve">CAS1240</t>
  </si>
  <si>
    <t xml:space="preserve">PISO VITRIFICADO PULPIS GREY 60X60 1.44 M2</t>
  </si>
  <si>
    <t xml:space="preserve">GSN11320L1P2</t>
  </si>
  <si>
    <t xml:space="preserve">GSN1 34 cm X 50 cm Stonefort Gold 1a.Cal. 1.20M2</t>
  </si>
  <si>
    <t xml:space="preserve">34x50</t>
  </si>
  <si>
    <t xml:space="preserve">CAS137</t>
  </si>
  <si>
    <t xml:space="preserve">PISO PORCELANICO VITRIFICADO DIAMOND CARRARA  60X60 1.44M2</t>
  </si>
  <si>
    <t xml:space="preserve">PISO MILANO NERO 61.2X122.6 CM 1.5 M2/CAJA RECTIFICADO 40 CAJAS</t>
  </si>
  <si>
    <t xml:space="preserve">61.2x122.6</t>
  </si>
  <si>
    <t xml:space="preserve">GA842424RC1P7</t>
  </si>
  <si>
    <t xml:space="preserve">GA84 60x60 cm Rect. Amore Carlotta 1a. Cal 1.8M2</t>
  </si>
  <si>
    <t xml:space="preserve">GA852424RC1P7</t>
  </si>
  <si>
    <t xml:space="preserve">GA85 60x60 cm Rect. Amore Julieta 1a. Cal 1.8M2</t>
  </si>
  <si>
    <t xml:space="preserve">CAS2113</t>
  </si>
  <si>
    <t xml:space="preserve">PISO AMANI PL WHITHE 60X120CM 1.44M2/CAJA</t>
  </si>
  <si>
    <t xml:space="preserve">CAS2213</t>
  </si>
  <si>
    <t xml:space="preserve">PISO STATUARIO GOLDEN BLANCO 60X120 CAJA 1.44M2</t>
  </si>
  <si>
    <t xml:space="preserve">CAS2220</t>
  </si>
  <si>
    <t xml:space="preserve">PISO PORC.TORONTO WHITE 60X120 CAJA 1.44M2</t>
  </si>
  <si>
    <t xml:space="preserve">CAS2228</t>
  </si>
  <si>
    <t xml:space="preserve">PISO TORONTO GRAY 60X120 CAJA 1.44M2</t>
  </si>
  <si>
    <t xml:space="preserve">CAS254794</t>
  </si>
  <si>
    <t xml:space="preserve">EVEREST 62 PULIDO  59.5X119.5 3PZ 2.13M2</t>
  </si>
  <si>
    <t xml:space="preserve">59.5x119.5</t>
  </si>
  <si>
    <t xml:space="preserve">CAS254795</t>
  </si>
  <si>
    <t xml:space="preserve">CARRARA 62 POLARIS PULIDO  59.5X119.5 3PZ 2.13M2</t>
  </si>
  <si>
    <t xml:space="preserve">CAS254796</t>
  </si>
  <si>
    <t xml:space="preserve">THASSOS 62 WHITE PULIDO 59.5X119.5 3PZ 2.13 M2</t>
  </si>
  <si>
    <t xml:space="preserve">CAS254797</t>
  </si>
  <si>
    <t xml:space="preserve">AMANI GREY 59.5X119.5 3PZ 2.13M2</t>
  </si>
  <si>
    <t xml:space="preserve">Gris </t>
  </si>
  <si>
    <t xml:space="preserve">CAS3040</t>
  </si>
  <si>
    <t xml:space="preserve">PISO SAINT LAURENT NEGRO 60X120 1.44M2</t>
  </si>
  <si>
    <t xml:space="preserve">CAS4040</t>
  </si>
  <si>
    <t xml:space="preserve">PISO CARRARA POLARIS PL 60X120CM 1.44M2/CAJA</t>
  </si>
  <si>
    <t xml:space="preserve">CAS734</t>
  </si>
  <si>
    <t xml:space="preserve">PISO WACOM 60X120 1.44 M2</t>
  </si>
  <si>
    <t xml:space="preserve">CAS739</t>
  </si>
  <si>
    <t xml:space="preserve">ORCHESTRA GOLD 60X120 1.44 M2</t>
  </si>
  <si>
    <t xml:space="preserve">CAS757</t>
  </si>
  <si>
    <t xml:space="preserve">AMANI WHITE 60X60 1.44 M2</t>
  </si>
  <si>
    <t xml:space="preserve">CAS758</t>
  </si>
  <si>
    <t xml:space="preserve">AMANI OXFORD 60X60 1.44 M2</t>
  </si>
  <si>
    <t xml:space="preserve">CAS8794</t>
  </si>
  <si>
    <t xml:space="preserve">PISO CASTEL NAPOLES  BEIGE 60X60 1.44M2 4PZAS</t>
  </si>
  <si>
    <t xml:space="preserve">CAS886</t>
  </si>
  <si>
    <t xml:space="preserve">PISO PORCELANICO REC VITRIFICADO THASSOS 60X60 1.44 M2 CAJA</t>
  </si>
  <si>
    <t xml:space="preserve">ZAS81060R1P7</t>
  </si>
  <si>
    <t xml:space="preserve">ZAS8 25 cm x 153 cm Rect. Aspen Castaño 1a. Cal. 1.16 M2</t>
  </si>
  <si>
    <t xml:space="preserve">25x153</t>
  </si>
  <si>
    <t xml:space="preserve">GPR11836FRC1P7</t>
  </si>
  <si>
    <t xml:space="preserve">GPR1 45 cm x 90 cm Rect Pure Fiore White 1a Cal 1.6M2</t>
  </si>
  <si>
    <t xml:space="preserve">45x90</t>
  </si>
  <si>
    <t xml:space="preserve">CAS900</t>
  </si>
  <si>
    <t xml:space="preserve">PISO PORC REC STATUARIO MATE 60X60</t>
  </si>
  <si>
    <t xml:space="preserve">CAS94016</t>
  </si>
  <si>
    <t xml:space="preserve">PISO VENETIAN BLANCO 60X60 1.44M2</t>
  </si>
  <si>
    <t xml:space="preserve">GGS12448PR1SL</t>
  </si>
  <si>
    <t xml:space="preserve">GGS1 59.6 x 119.4 Rect. Galastone Turquoise 1a Cal 1.42m2</t>
  </si>
  <si>
    <t xml:space="preserve">59.6x119.4</t>
  </si>
  <si>
    <t xml:space="preserve">ZAS61060R1P7</t>
  </si>
  <si>
    <t xml:space="preserve">ZAS6 25 cm x 153 cm Rect. Aspen Gris 1a. Cal 1.16 M2</t>
  </si>
  <si>
    <t xml:space="preserve">ZAS51060R1P7</t>
  </si>
  <si>
    <t xml:space="preserve">ZAS5 25 cm x 153 cm Rect. Aspen Natural 1a. Cal 1.16 M2</t>
  </si>
  <si>
    <t xml:space="preserve">GMK13264PR1</t>
  </si>
  <si>
    <t xml:space="preserve">GMK1 80 CM X 160 CM RECT. MAKIA BLANCO PULIDO 1a. CAL.</t>
  </si>
  <si>
    <t xml:space="preserve">ZAD83264PR1SL</t>
  </si>
  <si>
    <t xml:space="preserve">ZAD8 80 cm x 160 cm Rect. Andara Marfil 1a. Cal. 2.56 M2</t>
  </si>
  <si>
    <t xml:space="preserve">ZBS432641PD</t>
  </si>
  <si>
    <t xml:space="preserve">ZBS4 80 cm X 160 cm Rect.Botanic Sens Green 1a. Cal 2.56M2</t>
  </si>
  <si>
    <t xml:space="preserve">ZCG63264PR1SL</t>
  </si>
  <si>
    <t xml:space="preserve">ZCG6 80 CM X 160 CM RECT. CARRARA GOLD BLANCO PUL. 1a.</t>
  </si>
  <si>
    <t xml:space="preserve">ZCT63264PR1SL</t>
  </si>
  <si>
    <t xml:space="preserve">ZCT6 80 CM X 160 CM RECT. CATALIA IVORY 1a. CAL. 2.56 M2</t>
  </si>
  <si>
    <t xml:space="preserve">ZCT73264PR1SL</t>
  </si>
  <si>
    <t xml:space="preserve">ZCT7 80 CM X 160 CM RECT. CATALIA LIGHT GRAY 1a. CAL. 2.56 M2</t>
  </si>
  <si>
    <t xml:space="preserve">ZCT83264PR1SL</t>
  </si>
  <si>
    <t xml:space="preserve">ZCT8 80 CM X 160 CM RECT CATALIA DARK GRAY 1a. CAL. 2.56 M2</t>
  </si>
  <si>
    <t xml:space="preserve">ZKT23264PR1SL</t>
  </si>
  <si>
    <t xml:space="preserve">ZKT2 80 CM X 160 CM RECT. KATALONIA BEIGE 1a. CAL. 2.52 M2</t>
  </si>
  <si>
    <t xml:space="preserve">ZMQ132641PD</t>
  </si>
  <si>
    <t xml:space="preserve">ZMQ1 80x160 Marquina Negro Rect. 1a. Cal 2.56M2</t>
  </si>
  <si>
    <t xml:space="preserve">ZN0924481PD</t>
  </si>
  <si>
    <t xml:space="preserve">ZN09 60x120 Rect. Black Marble Black 1a. Cal 1.44M2</t>
  </si>
  <si>
    <t xml:space="preserve">ZS0932641PD</t>
  </si>
  <si>
    <t xml:space="preserve">ZS09 80x160 cm. Rect. Silver River Gray 1a. Cal. 2.56M2</t>
  </si>
  <si>
    <t xml:space="preserve">ZSS532641PD</t>
  </si>
  <si>
    <t xml:space="preserve">ZSS5 80 cm X 160 cm Rect.Sky Sens Blue 1a. Cal. 2.56M2</t>
  </si>
  <si>
    <t xml:space="preserve">Malla ceramica</t>
  </si>
  <si>
    <t xml:space="preserve">ZA0515HEXMS1P2</t>
  </si>
  <si>
    <t xml:space="preserve">ZA05 3.8 Alida1a.Cal. 0.9M2 (12 piezas por caja)</t>
  </si>
  <si>
    <t xml:space="preserve">29x26</t>
  </si>
  <si>
    <t xml:space="preserve">PT2415HEXMS1P2</t>
  </si>
  <si>
    <t xml:space="preserve">PT24 3.8 HEX NEGRO MT INFINITO 0.90M2 (12 piezas por caja)</t>
  </si>
  <si>
    <t xml:space="preserve">ZDL224481PA</t>
  </si>
  <si>
    <t xml:space="preserve">ZDL2 60 CM X 120 CM CLAUDEL WHITE PL 1a. CAL. 1.44 M2</t>
  </si>
  <si>
    <t xml:space="preserve">Beie</t>
  </si>
  <si>
    <t xml:space="preserve">ZVN224481PA</t>
  </si>
  <si>
    <t xml:space="preserve">ZVN2 60 CM X 120 CM NUVEM WHITE PULIDO 1a. CAL. 1.44 M2</t>
  </si>
  <si>
    <t xml:space="preserve">Pisos</t>
  </si>
  <si>
    <t xml:space="preserve">Pisos Renujal</t>
  </si>
  <si>
    <t xml:space="preserve">CAS251078</t>
  </si>
  <si>
    <t xml:space="preserve">CARRARA POLARIS SATIN 59.5X119.5 3PZ 2.13M2 C.C</t>
  </si>
  <si>
    <t xml:space="preserve">CAS756</t>
  </si>
  <si>
    <t xml:space="preserve">SYMPHONY PL 60X120 1.44 M2</t>
  </si>
  <si>
    <t xml:space="preserve">CAS1001216</t>
  </si>
  <si>
    <t xml:space="preserve">PISO MOON IVORY 60X120 3PZ 2.13M2</t>
  </si>
  <si>
    <t xml:space="preserve">CAS1001212</t>
  </si>
  <si>
    <t xml:space="preserve">PISO IONIC 62 SILVER 60X120 3PZ 2.13M2</t>
  </si>
  <si>
    <t xml:space="preserve">CAS1001348</t>
  </si>
  <si>
    <t xml:space="preserve">PISO GRECIA 62 BRILLO 60X120 3PZ 2.13M2</t>
  </si>
  <si>
    <t xml:space="preserve">CAS1001213</t>
  </si>
  <si>
    <t xml:space="preserve">PISO CANTABRIA BEIGE 60X120 3PZ 2.13M2</t>
  </si>
  <si>
    <t xml:space="preserve">CAS1001211</t>
  </si>
  <si>
    <t xml:space="preserve">PISO MINIMAL 62 IVORY 60X120 3PZ 2.13M2</t>
  </si>
  <si>
    <t xml:space="preserve">CAS1001210</t>
  </si>
  <si>
    <t xml:space="preserve">PISO MOON SILVER 60X120 3PZ 2.13M2</t>
  </si>
  <si>
    <t xml:space="preserve">CAS1001349</t>
  </si>
  <si>
    <t xml:space="preserve">PISO VOLCANO OXFORD 60X120 3PZ 2.13M2</t>
  </si>
  <si>
    <t xml:space="preserve">Oportunidad</t>
  </si>
  <si>
    <t xml:space="preserve">PISO ALBA BIANCO 35.7X35.7 1.78 M2</t>
  </si>
  <si>
    <t xml:space="preserve">Semibrillante</t>
  </si>
  <si>
    <t xml:space="preserve">Comentarios</t>
  </si>
  <si>
    <t xml:space="preserve">Neostone</t>
  </si>
  <si>
    <t xml:space="preserve">NEOS322</t>
  </si>
  <si>
    <t xml:space="preserve">DIAMOND BLACK GLOSSY 10X20 1M2 (50 PZ)</t>
  </si>
  <si>
    <t xml:space="preserve">10X20</t>
  </si>
  <si>
    <t xml:space="preserve">NEOS452</t>
  </si>
  <si>
    <t xml:space="preserve">DIAMOND BLACK MATT10X20 1M2 (50 PZ)</t>
  </si>
  <si>
    <t xml:space="preserve">NEOS323</t>
  </si>
  <si>
    <t xml:space="preserve">DIAMOND WHITE GLOSSY 10X20 1M2 (50 PZ)</t>
  </si>
  <si>
    <t xml:space="preserve">NEOS451</t>
  </si>
  <si>
    <t xml:space="preserve">DIAMOND WHITE MATT 10X20 1M2 (50 PZ)</t>
  </si>
  <si>
    <t xml:space="preserve">NEOS361</t>
  </si>
  <si>
    <t xml:space="preserve">SAN MARINO PL 120X120 2.88 M2</t>
  </si>
  <si>
    <t xml:space="preserve">120X120</t>
  </si>
  <si>
    <t xml:space="preserve">NEOS109</t>
  </si>
  <si>
    <t xml:space="preserve">ARABELL ELITE 120X240 2.88 M2</t>
  </si>
  <si>
    <t xml:space="preserve">120X240</t>
  </si>
  <si>
    <t xml:space="preserve">NEOS519</t>
  </si>
  <si>
    <t xml:space="preserve">CARACARA WHITE 120X240 2.88M2</t>
  </si>
  <si>
    <t xml:space="preserve">NEOS518</t>
  </si>
  <si>
    <t xml:space="preserve">CARRARA WHITE 120x240 2.88M2</t>
  </si>
  <si>
    <t xml:space="preserve">Hasta agotar existencias</t>
  </si>
  <si>
    <t xml:space="preserve">NEOS111</t>
  </si>
  <si>
    <t xml:space="preserve">BLACK SYMPHONY 120X240 2.88 M2</t>
  </si>
  <si>
    <t xml:space="preserve">CALACATTA 120X240</t>
  </si>
  <si>
    <t xml:space="preserve">CALACATTA ELITE 120X240 PUL. 2.88 MTS</t>
  </si>
  <si>
    <t xml:space="preserve">NEOS314</t>
  </si>
  <si>
    <t xml:space="preserve">MONET WHITE 120X240 2.88M2</t>
  </si>
  <si>
    <t xml:space="preserve">NEOS099</t>
  </si>
  <si>
    <t xml:space="preserve">SAINT LAURENT ELITE 120X240 2.88 M2</t>
  </si>
  <si>
    <t xml:space="preserve">NEOS493</t>
  </si>
  <si>
    <t xml:space="preserve">KENAI GREY (TORO GREY) 20X120 1.20m2</t>
  </si>
  <si>
    <t xml:space="preserve">NEOS359</t>
  </si>
  <si>
    <t xml:space="preserve">GREY BRICH WOOD 20x120</t>
  </si>
  <si>
    <t xml:space="preserve">NEOS492</t>
  </si>
  <si>
    <t xml:space="preserve">KENAI BROWN (TORO BROWN) 20X120 1.20m2</t>
  </si>
  <si>
    <t xml:space="preserve">NEOS491</t>
  </si>
  <si>
    <t xml:space="preserve">KENAI NATURAL (CASTELO MONEY) 20X120 1.20m2</t>
  </si>
  <si>
    <t xml:space="preserve">NEOS465</t>
  </si>
  <si>
    <t xml:space="preserve">MOUNTAIN BROWN 20X120 1.20M2</t>
  </si>
  <si>
    <t xml:space="preserve">ROYALWOODB20X120</t>
  </si>
  <si>
    <t xml:space="preserve">ROYAL WOOD BROWN 20X120CM 1.20M2/CJ</t>
  </si>
  <si>
    <t xml:space="preserve">NEOS377</t>
  </si>
  <si>
    <t xml:space="preserve">MALLA SINTRA 30X30</t>
  </si>
  <si>
    <t xml:space="preserve">30X30</t>
  </si>
  <si>
    <t xml:space="preserve">NEOS382</t>
  </si>
  <si>
    <t xml:space="preserve">MALLA NAZARÉ 30X30</t>
  </si>
  <si>
    <t xml:space="preserve">NEOS224</t>
  </si>
  <si>
    <t xml:space="preserve">MOSAICO ARMAN BLUE 30X30 0.74 M2</t>
  </si>
  <si>
    <t xml:space="preserve">NEOS441</t>
  </si>
  <si>
    <t xml:space="preserve">MOSAICO BLACK STORM MATT 30X30 0.74M2</t>
  </si>
  <si>
    <t xml:space="preserve">NEOS226</t>
  </si>
  <si>
    <t xml:space="preserve">MOSAICO CARAMEL WHITE 30X30 0.74 M2</t>
  </si>
  <si>
    <t xml:space="preserve">NEOS440</t>
  </si>
  <si>
    <t xml:space="preserve">MOSAICO LENART BLACK MATT 30X30 0.74 M2</t>
  </si>
  <si>
    <t xml:space="preserve">NEOS227</t>
  </si>
  <si>
    <t xml:space="preserve">MOSAICO STATUARIO EVA 30X30 0.74 M2</t>
  </si>
  <si>
    <t xml:space="preserve">NEOS422</t>
  </si>
  <si>
    <t xml:space="preserve">MOSAICO STATUARIO EVA MATT 30X30 0.74 M2</t>
  </si>
  <si>
    <t xml:space="preserve">NEOS369</t>
  </si>
  <si>
    <t xml:space="preserve">LUGO BIANCO GL 30X60 0.9M2</t>
  </si>
  <si>
    <t xml:space="preserve">NEOS368</t>
  </si>
  <si>
    <t xml:space="preserve">MERIDA BLACK GL 30X60 0.9M2</t>
  </si>
  <si>
    <t xml:space="preserve">NEOS367</t>
  </si>
  <si>
    <t xml:space="preserve">MERIDA STATUARIO GL 30X60 0.9M2</t>
  </si>
  <si>
    <t xml:space="preserve">NEOS366</t>
  </si>
  <si>
    <t xml:space="preserve">MERIDA WHITE GL 30X60 0.9M2</t>
  </si>
  <si>
    <t xml:space="preserve">NEOS370</t>
  </si>
  <si>
    <t xml:space="preserve">MURCIA STATUARIO GL 30X60 0.9M2</t>
  </si>
  <si>
    <t xml:space="preserve">NEOS030</t>
  </si>
  <si>
    <t xml:space="preserve">ANTIQUE BLACK 33 33X33 1M2</t>
  </si>
  <si>
    <t xml:space="preserve">33X33</t>
  </si>
  <si>
    <t xml:space="preserve">NEOS189</t>
  </si>
  <si>
    <t xml:space="preserve">ANTIQUE WHITE 33 33X33 1M2</t>
  </si>
  <si>
    <t xml:space="preserve">NEOS249</t>
  </si>
  <si>
    <t xml:space="preserve">EVEREST 60X120 1.44 M2 2DA CALIDAD</t>
  </si>
  <si>
    <t xml:space="preserve">NEOS302</t>
  </si>
  <si>
    <t xml:space="preserve">SANDSTONE GREY MT 7MM 60X120 2.16 M2</t>
  </si>
  <si>
    <t xml:space="preserve">NEOS301</t>
  </si>
  <si>
    <t xml:space="preserve">SANDSTONE BLACK MT 7MM 60X120 2.16 M2</t>
  </si>
  <si>
    <t xml:space="preserve">NEOS248</t>
  </si>
  <si>
    <t xml:space="preserve">STATUARIO EVA 60X120 1.44M2 2DA CALIDAD</t>
  </si>
  <si>
    <t xml:space="preserve">NEOS437</t>
  </si>
  <si>
    <t xml:space="preserve">SIG STATUARIO MT 7MM 60X120 2.16 M2</t>
  </si>
  <si>
    <t xml:space="preserve">NEOS220</t>
  </si>
  <si>
    <t xml:space="preserve">ATENAS BIANCO MATTE 60X120CM 5MM 2.88 M2</t>
  </si>
  <si>
    <t xml:space="preserve">NEOS216</t>
  </si>
  <si>
    <t xml:space="preserve">MONT BIANCO MATTE 60X120 CM 5MM 2.88 M2</t>
  </si>
  <si>
    <t xml:space="preserve">NEOS213</t>
  </si>
  <si>
    <t xml:space="preserve">ATENAS BIANCO GLOSSY 60 X 120 CM 5MM 2.88M2</t>
  </si>
  <si>
    <t xml:space="preserve">NEOS201</t>
  </si>
  <si>
    <t xml:space="preserve">ARMANI CASTAL 5MM 60X120 2.88 M2</t>
  </si>
  <si>
    <t xml:space="preserve">NEOS200</t>
  </si>
  <si>
    <t xml:space="preserve">CASTANO WOOD 5 MM 60X120 2.88 M2</t>
  </si>
  <si>
    <t xml:space="preserve">NEOS202</t>
  </si>
  <si>
    <t xml:space="preserve">SIG STATUARIO PL 5MM 60X120 2.88M2</t>
  </si>
  <si>
    <t xml:space="preserve">NEOS221</t>
  </si>
  <si>
    <t xml:space="preserve">SIG STATUARIO MT 5MM 60X120 2.88M3</t>
  </si>
  <si>
    <t xml:space="preserve">NEOS305</t>
  </si>
  <si>
    <t xml:space="preserve">MORDAN SILVER GL 7MM 60X120 2.16 M2</t>
  </si>
  <si>
    <t xml:space="preserve">NEOS303</t>
  </si>
  <si>
    <t xml:space="preserve">INDEX GREY MT 7MM 60X120 2.16 M2</t>
  </si>
  <si>
    <t xml:space="preserve">NEOS304</t>
  </si>
  <si>
    <t xml:space="preserve">CLASSIC STATUARIO MT 7MM 60X120 2.16 M2</t>
  </si>
  <si>
    <t xml:space="preserve">NEOS215</t>
  </si>
  <si>
    <t xml:space="preserve">SIDNEY GREY GLOSSY 60 X 120 5MM 2.88M2</t>
  </si>
  <si>
    <t xml:space="preserve">NEOS203</t>
  </si>
  <si>
    <t xml:space="preserve">MARMOL CARRARA 5MM 60X120 2.88 M2</t>
  </si>
  <si>
    <t xml:space="preserve">NEOS306</t>
  </si>
  <si>
    <t xml:space="preserve">PARIS WHITE GL 7MM 60X120 2.16 M2</t>
  </si>
  <si>
    <t xml:space="preserve">NEOS300</t>
  </si>
  <si>
    <t xml:space="preserve">NOIR STATUARIO GL 7MM 60X120 2.16M2</t>
  </si>
  <si>
    <t xml:space="preserve">NEOS315</t>
  </si>
  <si>
    <t xml:space="preserve">CALACATTA CLASSIC (PY126929) 60X120 2.16 M2</t>
  </si>
  <si>
    <t xml:space="preserve">NEOS209</t>
  </si>
  <si>
    <t xml:space="preserve">CARAMEL WHITE 60X120 1.44 M2</t>
  </si>
  <si>
    <t xml:space="preserve">NEOS418</t>
  </si>
  <si>
    <t xml:space="preserve">BUCAREST SILVER MATT 60X120 1.44 m2</t>
  </si>
  <si>
    <t xml:space="preserve">NEOS160</t>
  </si>
  <si>
    <t xml:space="preserve">NEO CARRARA PL 60X120 1.44 M2</t>
  </si>
  <si>
    <t xml:space="preserve">NEOS223</t>
  </si>
  <si>
    <t xml:space="preserve">COILCHIPS GREY 9MM 60X120 1.44 M2</t>
  </si>
  <si>
    <t xml:space="preserve">NEOS383</t>
  </si>
  <si>
    <t xml:space="preserve">SIG STATUARIO PL 9MM 60X120 1.44 M2</t>
  </si>
  <si>
    <t xml:space="preserve">NEOS436</t>
  </si>
  <si>
    <t xml:space="preserve">SIG STATUARIO MT 9MM 60X120 1.44 M2</t>
  </si>
  <si>
    <t xml:space="preserve">NEOS373</t>
  </si>
  <si>
    <t xml:space="preserve">ARABELL SATIN MATT 60X120 1.44 M2</t>
  </si>
  <si>
    <t xml:space="preserve">NEOS142</t>
  </si>
  <si>
    <t xml:space="preserve">ALDEN BIANCO 60X120 1.44 M2</t>
  </si>
  <si>
    <t xml:space="preserve">NEOS374</t>
  </si>
  <si>
    <t xml:space="preserve">MONTCALM SATIN MATT 60X120 1.44M2</t>
  </si>
  <si>
    <t xml:space="preserve">NEOS059</t>
  </si>
  <si>
    <t xml:space="preserve">STENCIL LT 60X120 1.44 M2</t>
  </si>
  <si>
    <t xml:space="preserve">NEOS376</t>
  </si>
  <si>
    <t xml:space="preserve">SIG STATUARIO PL 7MM 60X120 2.16 M2</t>
  </si>
  <si>
    <t xml:space="preserve">NEOS178</t>
  </si>
  <si>
    <t xml:space="preserve">EVEREST RUSTIC 60X120 1.44 M2</t>
  </si>
  <si>
    <t xml:space="preserve">NEOS413</t>
  </si>
  <si>
    <t xml:space="preserve">FERRARA BIANCO MATT 60X120 1.44 m2</t>
  </si>
  <si>
    <t xml:space="preserve">NEOS414</t>
  </si>
  <si>
    <t xml:space="preserve">FERRARA IVORY MATT 60X120 1.44 M2</t>
  </si>
  <si>
    <t xml:space="preserve">NEOS415</t>
  </si>
  <si>
    <t xml:space="preserve">FERARRA NERO MATT 60X120 1.44 m2</t>
  </si>
  <si>
    <t xml:space="preserve">NEOS416</t>
  </si>
  <si>
    <t xml:space="preserve">BUCAREST CREMA MATT 60X120 1.44 m2</t>
  </si>
  <si>
    <t xml:space="preserve">NEOS419</t>
  </si>
  <si>
    <t xml:space="preserve">SAN REMO GREY MATT 60X120 1.44 m2</t>
  </si>
  <si>
    <t xml:space="preserve">NEOS420</t>
  </si>
  <si>
    <t xml:space="preserve">SAN GALO BIANCO MATT 60X120 1.44 m2</t>
  </si>
  <si>
    <t xml:space="preserve">NEOS421</t>
  </si>
  <si>
    <t xml:space="preserve">SAN GALO GREY MATT 60X120 1.44 m2</t>
  </si>
  <si>
    <t xml:space="preserve">NEOS143</t>
  </si>
  <si>
    <t xml:space="preserve">MURANO GREY 60X120 1.44M2</t>
  </si>
  <si>
    <t xml:space="preserve">NEOS192</t>
  </si>
  <si>
    <t xml:space="preserve">MARQUINA BLACK 60x120 1.44 M2</t>
  </si>
  <si>
    <t xml:space="preserve">NEOS193</t>
  </si>
  <si>
    <t xml:space="preserve">MARQUINA GOLD 60x120 1.44 M2</t>
  </si>
  <si>
    <t xml:space="preserve">ARA60X120</t>
  </si>
  <si>
    <t xml:space="preserve">PISO ARABELL 60X120 1.44M2</t>
  </si>
  <si>
    <t xml:space="preserve">EVEREST60X120</t>
  </si>
  <si>
    <t xml:space="preserve">EVEREST 60x120 1.44 M2</t>
  </si>
  <si>
    <t xml:space="preserve">NEOS146</t>
  </si>
  <si>
    <t xml:space="preserve">STATUARIO EVA 60X120 1.44 M2</t>
  </si>
  <si>
    <t xml:space="preserve">NEOS155</t>
  </si>
  <si>
    <t xml:space="preserve">PETRA NOVA GREY PL 60X120 1.44 M2</t>
  </si>
  <si>
    <t xml:space="preserve">NEOS137</t>
  </si>
  <si>
    <t xml:space="preserve">PETRA NOVA GREY SATIN 60x120 1.44 M2</t>
  </si>
  <si>
    <t xml:space="preserve">NEOS371</t>
  </si>
  <si>
    <t xml:space="preserve">MESINA GREY MATT 60X120 1.44M2</t>
  </si>
  <si>
    <t xml:space="preserve">NEOS372</t>
  </si>
  <si>
    <t xml:space="preserve">MESINA NATURAL MATT 60X120 1.44M2</t>
  </si>
  <si>
    <t xml:space="preserve">NEOS210</t>
  </si>
  <si>
    <t xml:space="preserve">ARMAN BLUE 60X120 1.44 M2</t>
  </si>
  <si>
    <t xml:space="preserve">MONT60X120</t>
  </si>
  <si>
    <t xml:space="preserve">PISO MONTCALM 60X120 1.44M</t>
  </si>
  <si>
    <t xml:space="preserve">NEOS081</t>
  </si>
  <si>
    <t xml:space="preserve">OSIRIS BIANCO 60X120 1.44 M2</t>
  </si>
  <si>
    <t xml:space="preserve">NEOS082</t>
  </si>
  <si>
    <t xml:space="preserve">OSIRIS GREY 60X120 1.44 M2</t>
  </si>
  <si>
    <t xml:space="preserve">NEOS162</t>
  </si>
  <si>
    <t xml:space="preserve">NEPTUNE STATUARIO POLISH 60X120 1.44 M2</t>
  </si>
  <si>
    <t xml:space="preserve">NEOS417</t>
  </si>
  <si>
    <t xml:space="preserve">BUCAREST GREY MATT 60X120 1.44 m2</t>
  </si>
  <si>
    <t xml:space="preserve">NEOS438</t>
  </si>
  <si>
    <t xml:space="preserve">SAN REMO GREY PL 60X120 1.44 M2</t>
  </si>
  <si>
    <t xml:space="preserve">NEOS450</t>
  </si>
  <si>
    <t xml:space="preserve">EVEREST MATT 60x120 1.44 M2</t>
  </si>
  <si>
    <t xml:space="preserve">NEOS501</t>
  </si>
  <si>
    <t xml:space="preserve">DEVICI BIANCO 60X120 1.44M2</t>
  </si>
  <si>
    <t xml:space="preserve">NEOS502</t>
  </si>
  <si>
    <t xml:space="preserve">FLAVIA GREY 60X120 1.44M2</t>
  </si>
  <si>
    <t xml:space="preserve">NEOS503</t>
  </si>
  <si>
    <t xml:space="preserve">FLAVIA BEIGE 60X120 1.44M2</t>
  </si>
  <si>
    <t xml:space="preserve">NEOS504</t>
  </si>
  <si>
    <t xml:space="preserve">GYPSUM SILVER 60X120 1.44 M2</t>
  </si>
  <si>
    <t xml:space="preserve">NEOS505</t>
  </si>
  <si>
    <t xml:space="preserve">GYPSUM MULTY 60X120 1.44M2</t>
  </si>
  <si>
    <t xml:space="preserve">NEOS506</t>
  </si>
  <si>
    <t xml:space="preserve">FARO PISTA 60X120 1.44M2</t>
  </si>
  <si>
    <t xml:space="preserve">NEOS507</t>
  </si>
  <si>
    <t xml:space="preserve">DEVICI SEPIA 60X120 1.44M2</t>
  </si>
  <si>
    <t xml:space="preserve">NEOS508</t>
  </si>
  <si>
    <t xml:space="preserve">FLOW GREY 60X120 1.44M2</t>
  </si>
  <si>
    <t xml:space="preserve">NEOS509</t>
  </si>
  <si>
    <t xml:space="preserve">FLOW WHITE 60X120 1.44M2</t>
  </si>
  <si>
    <t xml:space="preserve">NEOS510</t>
  </si>
  <si>
    <t xml:space="preserve">FARO GREY 60X120 1.44M2</t>
  </si>
  <si>
    <t xml:space="preserve">NEOS511</t>
  </si>
  <si>
    <t xml:space="preserve">DEVICI GREY 60X120 1.44M2</t>
  </si>
  <si>
    <t xml:space="preserve">NEOS512</t>
  </si>
  <si>
    <t xml:space="preserve">DEVICI CREMA 60X120 1.44M2</t>
  </si>
  <si>
    <t xml:space="preserve">NEOS513</t>
  </si>
  <si>
    <t xml:space="preserve">DEVICI DESERT 60X120 1.44M2</t>
  </si>
  <si>
    <t xml:space="preserve">NEOS514</t>
  </si>
  <si>
    <t xml:space="preserve">FLAVIA 60X120 1.44M2</t>
  </si>
  <si>
    <t xml:space="preserve">NEOS515</t>
  </si>
  <si>
    <t xml:space="preserve">FLAVIA ROSE 60X120 1.44M2</t>
  </si>
  <si>
    <t xml:space="preserve">NEOS516</t>
  </si>
  <si>
    <t xml:space="preserve">GLACIER ONYX 60X120 1.44M2</t>
  </si>
  <si>
    <t xml:space="preserve">NEOS517</t>
  </si>
  <si>
    <t xml:space="preserve">GLACIER ONYX GREY 60X120 1.44M2</t>
  </si>
  <si>
    <t xml:space="preserve">NEOS520</t>
  </si>
  <si>
    <t xml:space="preserve">DEVICI GRIS 60X120 1.44M2</t>
  </si>
  <si>
    <t xml:space="preserve">NEOS521</t>
  </si>
  <si>
    <t xml:space="preserve">SIERRA NEVADA (C126G0000QB) 60X120 2.16M2</t>
  </si>
  <si>
    <t xml:space="preserve">NEOS522</t>
  </si>
  <si>
    <t xml:space="preserve">GOBLIN GREY (SH6121401Q) 60X120 2.16M2</t>
  </si>
  <si>
    <t xml:space="preserve">NEOS523</t>
  </si>
  <si>
    <t xml:space="preserve">CLOUD SILVER (JA612010Q) 60X120 2.16M2</t>
  </si>
  <si>
    <t xml:space="preserve">NEOS524</t>
  </si>
  <si>
    <t xml:space="preserve">ORLOK BIANCO (SH6126101Q) 60X120 2.16 M2</t>
  </si>
  <si>
    <t xml:space="preserve">NEOS148</t>
  </si>
  <si>
    <t xml:space="preserve">ZET CORAL 60X120 1.44 M2</t>
  </si>
  <si>
    <t xml:space="preserve">NEOS247</t>
  </si>
  <si>
    <t xml:space="preserve">COAL MATT 60X120 1.44M2</t>
  </si>
  <si>
    <t xml:space="preserve">NEOS424</t>
  </si>
  <si>
    <t xml:space="preserve">BLACK STORM DARK MATT 60X120 1.44 M2</t>
  </si>
  <si>
    <t xml:space="preserve">NEOS423</t>
  </si>
  <si>
    <t xml:space="preserve">LENART BLACK DARK MATT 60X120 1.44 M2</t>
  </si>
  <si>
    <t xml:space="preserve">NEOS060</t>
  </si>
  <si>
    <t xml:space="preserve">STENCIL DECOR 60X120 1.44 M2</t>
  </si>
  <si>
    <t xml:space="preserve">NEOS360</t>
  </si>
  <si>
    <t xml:space="preserve">ELITE STATUARIO PL 60X120 1.44 M2</t>
  </si>
  <si>
    <t xml:space="preserve">NEOS208</t>
  </si>
  <si>
    <t xml:space="preserve">IMPERIAL PEARL 60X120 1.44M2</t>
  </si>
  <si>
    <t xml:space="preserve">NEOS395</t>
  </si>
  <si>
    <t xml:space="preserve">ARMANI CASTAL 9MM 60X120 1.44M2</t>
  </si>
  <si>
    <t xml:space="preserve">NEOS442</t>
  </si>
  <si>
    <t xml:space="preserve">RICHEN BLUE HG 60X120 1.44 M2</t>
  </si>
  <si>
    <t xml:space="preserve">MALAGA60X120</t>
  </si>
  <si>
    <t xml:space="preserve">MALAGA MATT 60X120 1.44M2</t>
  </si>
  <si>
    <t xml:space="preserve">NEOS163</t>
  </si>
  <si>
    <t xml:space="preserve">PANDORA LIGHT 60X120 1.44 M2</t>
  </si>
  <si>
    <t xml:space="preserve">NEOS164</t>
  </si>
  <si>
    <t xml:space="preserve">PANDORA DARK 60X120 1.44 M2</t>
  </si>
  <si>
    <t xml:space="preserve">NEOS144</t>
  </si>
  <si>
    <t xml:space="preserve">IMPERIAL SMOKY 60X120 1.44M2</t>
  </si>
  <si>
    <t xml:space="preserve">NEOS141</t>
  </si>
  <si>
    <t xml:space="preserve">HK099 BLACK ANTHRACITE 60X120 1.44 M2 CLN LMOCHIS</t>
  </si>
  <si>
    <t xml:space="preserve">NEOS118</t>
  </si>
  <si>
    <t xml:space="preserve">BLACK ANTHRACITE 60X120 1.44 M2 SOLO MAZATLAN</t>
  </si>
  <si>
    <t xml:space="preserve">CORDO60X120</t>
  </si>
  <si>
    <t xml:space="preserve">CORDOBA 60X120 1.44M2 </t>
  </si>
  <si>
    <t xml:space="preserve">NEOS444</t>
  </si>
  <si>
    <t xml:space="preserve">STATUARIO ENFOLD GL 60X120 1.44 M2</t>
  </si>
  <si>
    <t xml:space="preserve">NEOS445</t>
  </si>
  <si>
    <t xml:space="preserve">BRANCO WHITE GL 60X120 1.44 M2</t>
  </si>
  <si>
    <t xml:space="preserve">NEOS446</t>
  </si>
  <si>
    <t xml:space="preserve">STARRY SILVER GL 60X120 1.44 M2</t>
  </si>
  <si>
    <t xml:space="preserve">NEOS447</t>
  </si>
  <si>
    <t xml:space="preserve">STARRY GREY GL 60X120 1.44 M2</t>
  </si>
  <si>
    <t xml:space="preserve">NEOS448</t>
  </si>
  <si>
    <t xml:space="preserve">ESMERALD STONE BL 60X120 1.44 M2</t>
  </si>
  <si>
    <t xml:space="preserve">NEOS449</t>
  </si>
  <si>
    <t xml:space="preserve">GUANXI WHITE HG 60X120 1.44 M2</t>
  </si>
  <si>
    <t xml:space="preserve">NEOS439</t>
  </si>
  <si>
    <t xml:space="preserve">PLAIN BLACK 60X120 1.44M2</t>
  </si>
  <si>
    <t xml:space="preserve">RODE60X120</t>
  </si>
  <si>
    <t xml:space="preserve">RODEIRO 60X120 1.44 M2</t>
  </si>
  <si>
    <t xml:space="preserve">NEOS499</t>
  </si>
  <si>
    <t xml:space="preserve">ABSOLUTE BLACK 60X120 CM 1.44 M2</t>
  </si>
  <si>
    <t xml:space="preserve">NEOS500</t>
  </si>
  <si>
    <t xml:space="preserve">MISTICEO BLACK 60X120 CM 1.44 M2</t>
  </si>
  <si>
    <t xml:space="preserve">NEOS097</t>
  </si>
  <si>
    <t xml:space="preserve">BLACK MARQUINA 60X120 1.44 M2</t>
  </si>
  <si>
    <t xml:space="preserve">NEOS125</t>
  </si>
  <si>
    <t xml:space="preserve">LENART BLACK 60X120 1.44 M2</t>
  </si>
  <si>
    <t xml:space="preserve">NEOS212</t>
  </si>
  <si>
    <t xml:space="preserve">BLACK STORM 60X120 1.44 M2</t>
  </si>
  <si>
    <t xml:space="preserve">NEOS443</t>
  </si>
  <si>
    <t xml:space="preserve">GOLDEN STORM 60X120 1.44M2</t>
  </si>
  <si>
    <t xml:space="preserve">NEOS211</t>
  </si>
  <si>
    <t xml:space="preserve">DARK PHOENIX 60X120 1.44 M2</t>
  </si>
  <si>
    <t xml:space="preserve">NEOS454</t>
  </si>
  <si>
    <t xml:space="preserve">DALLAS GREY MATT 60X60 1.44 M2</t>
  </si>
  <si>
    <t xml:space="preserve">NEOS455</t>
  </si>
  <si>
    <t xml:space="preserve">MARMOL ITALIA MATT 60X60 1.44 M2</t>
  </si>
  <si>
    <t xml:space="preserve">NEOS456</t>
  </si>
  <si>
    <t xml:space="preserve">AUSTIN DARK GREY MATT 60X60 1.44 M2</t>
  </si>
  <si>
    <t xml:space="preserve">NEOS457</t>
  </si>
  <si>
    <t xml:space="preserve">AUSTIN LIGHT GREY MATT 60X60 1.44 M2</t>
  </si>
  <si>
    <t xml:space="preserve">NEOS458</t>
  </si>
  <si>
    <t xml:space="preserve">ONYX MATT 60X60 1.44 M2</t>
  </si>
  <si>
    <t xml:space="preserve">NEOS495</t>
  </si>
  <si>
    <t xml:space="preserve">SAN  ANTONIO MATT 60X60 1.44 M2</t>
  </si>
  <si>
    <t xml:space="preserve">NEOS460</t>
  </si>
  <si>
    <t xml:space="preserve">PARADISO BIANCO MATT 60X60 1.44 M2</t>
  </si>
  <si>
    <t xml:space="preserve">NEOS461</t>
  </si>
  <si>
    <t xml:space="preserve">SAN ANGELO MATT 60X60 1.44 M2</t>
  </si>
  <si>
    <t xml:space="preserve">CPM001</t>
  </si>
  <si>
    <t xml:space="preserve">PISO PORCELANICO RECT Mieres 60X60 CAJA 1.44</t>
  </si>
  <si>
    <t xml:space="preserve">NEOS018</t>
  </si>
  <si>
    <t xml:space="preserve">OCEAN 60X60 1.44 M2</t>
  </si>
  <si>
    <t xml:space="preserve">NEOS338</t>
  </si>
  <si>
    <t xml:space="preserve">TERUEL 60X60 1.44 M2</t>
  </si>
  <si>
    <t xml:space="preserve">NEOS140</t>
  </si>
  <si>
    <t xml:space="preserve">PETRA NOVA GREY SATIN 60X60 1.44 M2</t>
  </si>
  <si>
    <t xml:space="preserve">NEOS058</t>
  </si>
  <si>
    <t xml:space="preserve">NEPTUNE STATUARIO MATT 60X60 1.44 M2</t>
  </si>
  <si>
    <t xml:space="preserve">MALAGA60X60</t>
  </si>
  <si>
    <t xml:space="preserve">MALAGA 60X60 1.44 M2</t>
  </si>
  <si>
    <t xml:space="preserve">NEOS019</t>
  </si>
  <si>
    <t xml:space="preserve">STENCIL LT 60X60 1.44 M2</t>
  </si>
  <si>
    <t xml:space="preserve">NEOS057</t>
  </si>
  <si>
    <t xml:space="preserve">NEPTUNE STATUARIO POLISH 60X60 1.44 M2</t>
  </si>
  <si>
    <t xml:space="preserve">CGP027</t>
  </si>
  <si>
    <t xml:space="preserve">SIERRA NEVADA 60X60 1.44 M2</t>
  </si>
  <si>
    <t xml:space="preserve">EVEREST60X60</t>
  </si>
  <si>
    <t xml:space="preserve">EVEREST 60X60 1.44 M2</t>
  </si>
  <si>
    <t xml:space="preserve">CORDO60X60</t>
  </si>
  <si>
    <t xml:space="preserve">CORDOBA 60x60 1.44 M2</t>
  </si>
  <si>
    <t xml:space="preserve">NEOS154</t>
  </si>
  <si>
    <t xml:space="preserve">PETRA NOVA GREY PL 60X60 1.44 M2</t>
  </si>
  <si>
    <t xml:space="preserve">CGP002</t>
  </si>
  <si>
    <t xml:space="preserve">BILBAO 60x60 1.44 M2</t>
  </si>
  <si>
    <t xml:space="preserve">CPL0060</t>
  </si>
  <si>
    <t xml:space="preserve">LANJARON 60X60 CAJA 1.44 M2</t>
  </si>
  <si>
    <t xml:space="preserve">NEOS333</t>
  </si>
  <si>
    <t xml:space="preserve">CREMA VALENCIA 60X60 1.44 M2</t>
  </si>
  <si>
    <t xml:space="preserve">NEOS362</t>
  </si>
  <si>
    <t xml:space="preserve">CALABRIA BEIGE MATT 60X60 1.44 M2</t>
  </si>
  <si>
    <t xml:space="preserve">NEOS363</t>
  </si>
  <si>
    <t xml:space="preserve">CALABRIA GREY MATT 60x60 1.44M2</t>
  </si>
  <si>
    <t xml:space="preserve">NEOS364</t>
  </si>
  <si>
    <t xml:space="preserve">CALABRIA WHITE MATT 60X60 1.44M2</t>
  </si>
  <si>
    <t xml:space="preserve">NEOS207</t>
  </si>
  <si>
    <t xml:space="preserve">MIDNIGHT 60X60 1.44 M2</t>
  </si>
  <si>
    <t xml:space="preserve">NEOS365</t>
  </si>
  <si>
    <t xml:space="preserve">CALABRIA BLACK MATT 60X60 1.44M2</t>
  </si>
  <si>
    <t xml:space="preserve">NEOS225</t>
  </si>
  <si>
    <t xml:space="preserve">BLACK STORM 60X60 1.44 M2</t>
  </si>
  <si>
    <t xml:space="preserve">NEOS321</t>
  </si>
  <si>
    <t xml:space="preserve">IMPERIAL (NERO ABSOLUTE) 60X60 1.44M2</t>
  </si>
  <si>
    <t xml:space="preserve">INCN417</t>
  </si>
  <si>
    <t xml:space="preserve">PONTA DO MEL 63X63 2.79m2 (PSI-63290R)</t>
  </si>
  <si>
    <t xml:space="preserve">63X63</t>
  </si>
  <si>
    <t xml:space="preserve">INCF415</t>
  </si>
  <si>
    <t xml:space="preserve">HERMÉS 74X74 2.19m2 (PHD70510R)</t>
  </si>
  <si>
    <t xml:space="preserve">74X74</t>
  </si>
  <si>
    <t xml:space="preserve">INCF413</t>
  </si>
  <si>
    <t xml:space="preserve">RENATO 74X74 2.19m2 (PHD70200R)</t>
  </si>
  <si>
    <t xml:space="preserve">NEOS462</t>
  </si>
  <si>
    <t xml:space="preserve">PRETORIA MATT (715009) 75X150 2.25M2</t>
  </si>
  <si>
    <t xml:space="preserve">75X150</t>
  </si>
  <si>
    <t xml:space="preserve">NEOS317</t>
  </si>
  <si>
    <t xml:space="preserve">CARRARA GLOSSY (75BT811) 75X150 2.25M2</t>
  </si>
  <si>
    <t xml:space="preserve">NEOS319</t>
  </si>
  <si>
    <t xml:space="preserve">VICTORIA DARK GREY (XYN715FY203) 75X150 2.25M2</t>
  </si>
  <si>
    <t xml:space="preserve">NEOS320</t>
  </si>
  <si>
    <t xml:space="preserve">VICTORIA LIGHT GREY (XYN715FY107) 75X150 2.25M2</t>
  </si>
  <si>
    <t xml:space="preserve">NEOS463</t>
  </si>
  <si>
    <t xml:space="preserve">CLASSIC STATUARIO MATT (XYN75BT820) 75X150 2.25M2</t>
  </si>
  <si>
    <t xml:space="preserve">NEOS464</t>
  </si>
  <si>
    <t xml:space="preserve">SAN MARTIN MATT (TM2741) 75X150 2.25M2</t>
  </si>
  <si>
    <t xml:space="preserve">NEOS425</t>
  </si>
  <si>
    <t xml:space="preserve">CARRARA GOLD 75X150 2.25M2</t>
  </si>
  <si>
    <t xml:space="preserve">NEOS161</t>
  </si>
  <si>
    <t xml:space="preserve">NEO CARRARA 80X160 2.56 M2</t>
  </si>
  <si>
    <t xml:space="preserve">80X160</t>
  </si>
  <si>
    <t xml:space="preserve">NEOS235</t>
  </si>
  <si>
    <t xml:space="preserve">LAURENT BLUE 80X160 2.56 M2</t>
  </si>
  <si>
    <t xml:space="preserve">NEOS339</t>
  </si>
  <si>
    <t xml:space="preserve">CLASSIC STATUARIO 80X160 2.56M2</t>
  </si>
  <si>
    <t xml:space="preserve">NEOS490</t>
  </si>
  <si>
    <t xml:space="preserve">TOLEDO IVORY 80X160 2.56 M2</t>
  </si>
  <si>
    <t xml:space="preserve">NEOS230</t>
  </si>
  <si>
    <t xml:space="preserve">TOLEDO CREMA (ARMANI CREMA) 80X160 2.56 M2</t>
  </si>
  <si>
    <t xml:space="preserve">NEOS340</t>
  </si>
  <si>
    <t xml:space="preserve">SIERRA NEVADA 80X160 2.56M2</t>
  </si>
  <si>
    <t xml:space="preserve">NEOS341</t>
  </si>
  <si>
    <t xml:space="preserve">STATUARIO ORO 80X160 2.56M2</t>
  </si>
  <si>
    <t xml:space="preserve">NEOS228</t>
  </si>
  <si>
    <t xml:space="preserve">DOWNTON GREY 80X160 2.56 M2</t>
  </si>
  <si>
    <t xml:space="preserve">NEOS229</t>
  </si>
  <si>
    <t xml:space="preserve">CALCUTTA BIANCO 80X160 2.56 M2</t>
  </si>
  <si>
    <t xml:space="preserve">NEOS231</t>
  </si>
  <si>
    <t xml:space="preserve">BAYONA SMOKE 80X160 2.56 M2</t>
  </si>
  <si>
    <t xml:space="preserve">NEOS232</t>
  </si>
  <si>
    <t xml:space="preserve">TOLEDO BIANCO 80X160 2.56 M2</t>
  </si>
  <si>
    <t xml:space="preserve">NEOS233</t>
  </si>
  <si>
    <t xml:space="preserve">TOLEDO GREY 80X160 2.56 M2</t>
  </si>
  <si>
    <t xml:space="preserve">NEOS234</t>
  </si>
  <si>
    <t xml:space="preserve">AMAZONITE VERDE 80X160 2.56 M2</t>
  </si>
  <si>
    <t xml:space="preserve">NEOS453</t>
  </si>
  <si>
    <t xml:space="preserve">LABRADORITE NATURAL HG 80x160 2.56 m2</t>
  </si>
  <si>
    <t xml:space="preserve">NEOS497</t>
  </si>
  <si>
    <t xml:space="preserve">STATUARIO EVA  80X80 1.92 M2</t>
  </si>
  <si>
    <t xml:space="preserve">80X80</t>
  </si>
  <si>
    <t xml:space="preserve">CGP014</t>
  </si>
  <si>
    <t xml:space="preserve">SIERRA NEVADA 80X80 1.92 M2</t>
  </si>
  <si>
    <t xml:space="preserve">NEOS335</t>
  </si>
  <si>
    <t xml:space="preserve">CARRARA GOLD (MT918005) 90X180 1.62M2</t>
  </si>
  <si>
    <t xml:space="preserve">90X180</t>
  </si>
  <si>
    <t xml:space="preserve">NEOS332</t>
  </si>
  <si>
    <t xml:space="preserve">GILACIER (XYN98BT016) 90X180 1.62M2</t>
  </si>
  <si>
    <t xml:space="preserve">NEOS330</t>
  </si>
  <si>
    <t xml:space="preserve">STATUARIO I  90X180 3.24M2</t>
  </si>
  <si>
    <t xml:space="preserve">NEOS427</t>
  </si>
  <si>
    <t xml:space="preserve">STATUARIO I 90X180 1.62M2</t>
  </si>
  <si>
    <t xml:space="preserve">NEOS336</t>
  </si>
  <si>
    <t xml:space="preserve">STATUARIO II 90X180 3.24M2</t>
  </si>
  <si>
    <t xml:space="preserve">NEOS337</t>
  </si>
  <si>
    <t xml:space="preserve">TARRASA DARK GREY (DPN918FY203) 90X180 1.62M2</t>
  </si>
  <si>
    <t xml:space="preserve">NEOS334</t>
  </si>
  <si>
    <t xml:space="preserve">TARRASA LIGHT GREY (DPN918FY102) 90X180 1.62M2</t>
  </si>
  <si>
    <t xml:space="preserve">NEOS331</t>
  </si>
  <si>
    <t xml:space="preserve">TURKISH RED ROOT (DPN918L231) 90X180 1.62M2</t>
  </si>
  <si>
    <t xml:space="preserve">NEOS316</t>
  </si>
  <si>
    <t xml:space="preserve">CARRARA GLOSSY (918L102) 90X180 1.62M2</t>
  </si>
  <si>
    <t xml:space="preserve">NEOS318</t>
  </si>
  <si>
    <t xml:space="preserve">STATUARIO GLOSSY (918L008) 90X180 1.62M2</t>
  </si>
  <si>
    <t xml:space="preserve">NEOS116</t>
  </si>
  <si>
    <t xml:space="preserve">NEO CARRARA 90X180 3.24M2</t>
  </si>
  <si>
    <t xml:space="preserve">NEOS308</t>
  </si>
  <si>
    <t xml:space="preserve">Indoor Wall Panel Black 2900x165x25 0.4785 m2</t>
  </si>
  <si>
    <t xml:space="preserve">Pieza</t>
  </si>
  <si>
    <t xml:space="preserve">NEOS311</t>
  </si>
  <si>
    <t xml:space="preserve">Indoor Wall Panel Brown 2900x165x25 0.4785 m2</t>
  </si>
  <si>
    <t xml:space="preserve">NEOS312</t>
  </si>
  <si>
    <t xml:space="preserve">Indoor Wall Panel EPgreywood 2900x195x12 0.5655 m2</t>
  </si>
  <si>
    <t xml:space="preserve">NEOS313</t>
  </si>
  <si>
    <t xml:space="preserve">Indoor Wall Panel Golden Teak 2900x195x12 0.5655 m2</t>
  </si>
  <si>
    <t xml:space="preserve">NEOS309</t>
  </si>
  <si>
    <t xml:space="preserve">Indoor Wall Panel Grey 2900x165x25 0.4785 m2</t>
  </si>
  <si>
    <t xml:space="preserve">NEOS426</t>
  </si>
  <si>
    <t xml:space="preserve">Indoor Wall Panel Nogal 2900x165x25 0.4785 m2</t>
  </si>
  <si>
    <t xml:space="preserve">NEOS310</t>
  </si>
  <si>
    <t xml:space="preserve">Indoor Wall Panel Teak 2900x165x25 0.4785 m2</t>
  </si>
  <si>
    <t xml:space="preserve">NEOS307</t>
  </si>
  <si>
    <t xml:space="preserve">Indoor Wall Panel White 2900x165x25 0.4785 m2</t>
  </si>
  <si>
    <t xml:space="preserve">NEOS399</t>
  </si>
  <si>
    <t xml:space="preserve">PS Wall Panel Black Gold 2900x120x12 0.3480 m2</t>
  </si>
  <si>
    <t xml:space="preserve">NEOS400</t>
  </si>
  <si>
    <t xml:space="preserve">PS Wall Panel Brown Gold 2900x120x12 0.3480 m2</t>
  </si>
  <si>
    <t xml:space="preserve">NEOS401</t>
  </si>
  <si>
    <t xml:space="preserve">PS Wall Panel White Gold 2900x120x12 0.3480 m2</t>
  </si>
  <si>
    <t xml:space="preserve">NEOS486</t>
  </si>
  <si>
    <t xml:space="preserve">Indoor Viga WPC Teak 2900x100x50</t>
  </si>
  <si>
    <t xml:space="preserve">NEOS485</t>
  </si>
  <si>
    <t xml:space="preserve">Indoor Viga WPC Walnut 2900x100x50</t>
  </si>
  <si>
    <t xml:space="preserve">NEOS025</t>
  </si>
  <si>
    <t xml:space="preserve">CALACATTA GOLD HEXAGON 28.5X33 1M2</t>
  </si>
  <si>
    <t xml:space="preserve">28.5x33</t>
  </si>
  <si>
    <t xml:space="preserve">NEOS190</t>
  </si>
  <si>
    <t xml:space="preserve">MANHATTAN COTTO 31X56 1.21M2</t>
  </si>
  <si>
    <t xml:space="preserve">31x56</t>
  </si>
  <si>
    <t xml:space="preserve">INCF417</t>
  </si>
  <si>
    <t xml:space="preserve">BABEL GRAY BR HDM36920R 35x70 1.68 m2</t>
  </si>
  <si>
    <t xml:space="preserve">35x70</t>
  </si>
  <si>
    <t xml:space="preserve">INCF416</t>
  </si>
  <si>
    <t xml:space="preserve">CALACATTA NATURAL BR HDM36910R 35x70 1.68 m2</t>
  </si>
  <si>
    <t xml:space="preserve">INCF419</t>
  </si>
  <si>
    <t xml:space="preserve">IROKO SATIN HDM37260R 35x70 1.68 m2</t>
  </si>
  <si>
    <t xml:space="preserve">INCN420</t>
  </si>
  <si>
    <t xml:space="preserve">ALTO DA SÉ 63X63 2.79m2 (PSI-63570R)</t>
  </si>
  <si>
    <t xml:space="preserve">NEOS380</t>
  </si>
  <si>
    <t xml:space="preserve">MALLA AVEIRO 30.5X30.5</t>
  </si>
  <si>
    <t xml:space="preserve">30.5x30.5</t>
  </si>
  <si>
    <t xml:space="preserve">NEOS381</t>
  </si>
  <si>
    <t xml:space="preserve">MALLA ÉVORA 30.5X30.5</t>
  </si>
  <si>
    <t xml:space="preserve">NEOS378</t>
  </si>
  <si>
    <t xml:space="preserve">MALLA LAGOS 30.2X26.2</t>
  </si>
  <si>
    <t xml:space="preserve">30.2x26.2</t>
  </si>
  <si>
    <t xml:space="preserve">NEOS379</t>
  </si>
  <si>
    <t xml:space="preserve">MALLA MADEIRA 30.2X26.2</t>
  </si>
  <si>
    <t xml:space="preserve">NEOS219</t>
  </si>
  <si>
    <t xml:space="preserve">ANTICATO NERO CARVING  60 X 120 CM 5MM 2.88M2</t>
  </si>
  <si>
    <t xml:space="preserve">NEOS217</t>
  </si>
  <si>
    <t xml:space="preserve">CEMENT ICE  MATTE 60 X 120 CM 5MM 2.88 M2</t>
  </si>
  <si>
    <t xml:space="preserve">NEOS214</t>
  </si>
  <si>
    <t xml:space="preserve">COTTI GREY MATTE 60 X 120 CM 5MM 2.88 M2</t>
  </si>
  <si>
    <t xml:space="preserve">NEOS205</t>
  </si>
  <si>
    <t xml:space="preserve">BILBAO 80X80 1.92 M2</t>
  </si>
  <si>
    <t xml:space="preserve">80x80</t>
  </si>
  <si>
    <t xml:space="preserve">NEOS206</t>
  </si>
  <si>
    <t xml:space="preserve">CORN WHITE 80X80 1.92 M2</t>
  </si>
  <si>
    <t xml:space="preserve">CPL00180</t>
  </si>
  <si>
    <t xml:space="preserve">LANJARON 80X80 1.92 M2</t>
  </si>
  <si>
    <t xml:space="preserve">NEOS024</t>
  </si>
  <si>
    <t xml:space="preserve"> RIOJA SLATE 31X56 1.21 M2</t>
  </si>
  <si>
    <t xml:space="preserve">31x31</t>
  </si>
  <si>
    <t xml:space="preserve">NEOS466</t>
  </si>
  <si>
    <t xml:space="preserve">LIFE TORTORA MATT 20X120 1.20M2</t>
  </si>
  <si>
    <t xml:space="preserve">20x20</t>
  </si>
  <si>
    <t xml:space="preserve">MARVALB20X120</t>
  </si>
  <si>
    <t xml:space="preserve">MARVAL BEIGE 20X120CM 1.20M2/CJ</t>
  </si>
  <si>
    <t xml:space="preserve">NEOS397</t>
  </si>
  <si>
    <t xml:space="preserve">Exterior WPC Wall Panel Grey 2900x220x26 0.6380 m2</t>
  </si>
  <si>
    <t xml:space="preserve">NEOS396</t>
  </si>
  <si>
    <t xml:space="preserve">Exterior WPC Wall Panel Rosewood 2900x220x26 0.6380 m2</t>
  </si>
  <si>
    <t xml:space="preserve">NEOS398</t>
  </si>
  <si>
    <t xml:space="preserve">Exterior WPC Wall Panel Teak 2900x220x26 0.6380 m2</t>
  </si>
  <si>
    <t xml:space="preserve">NEOS343</t>
  </si>
  <si>
    <t xml:space="preserve"> PISO VINÍLICO SPC DARK GREY 6006-8 1240X182X5MM 2.70M2</t>
  </si>
  <si>
    <t xml:space="preserve">NEOS344</t>
  </si>
  <si>
    <t xml:space="preserve"> PISO VINÍLICO SPC NATURAL CD7331-2 1240X182X5MM 2.70M2</t>
  </si>
  <si>
    <t xml:space="preserve">NEOS342</t>
  </si>
  <si>
    <t xml:space="preserve"> PISO VINÍLICO SPC TABACO 3736-3 1240X182X5MM 2.70M2</t>
  </si>
  <si>
    <t xml:space="preserve">NEOS402</t>
  </si>
  <si>
    <t xml:space="preserve">UV PVC Marble Board Albania White 1220x2800x3mm 3.1416 m2 (8232)</t>
  </si>
  <si>
    <t xml:space="preserve">NEOS404</t>
  </si>
  <si>
    <t xml:space="preserve">UV PVC Marble Board Beijin Green 1220x2800x3mm 3.1416 m2 (S1221)</t>
  </si>
  <si>
    <t xml:space="preserve">NEOS403</t>
  </si>
  <si>
    <t xml:space="preserve">UV PVC Marble Board Bélgica Grey 1220x2800x3mm 3.1416 m2 (S1350)</t>
  </si>
  <si>
    <t xml:space="preserve">NEOS405</t>
  </si>
  <si>
    <t xml:space="preserve">UV PVC Marble Board Libano Black 1220x2800x3mm 3.1416 m2 (KL 8146)</t>
  </si>
  <si>
    <t xml:space="preserve">NEOS406</t>
  </si>
  <si>
    <t xml:space="preserve">UV PVC Marble Board Singapur Dark 1220x2800x3mm 3.1416 m2 (8231-2)</t>
  </si>
  <si>
    <t xml:space="preserve">INCN419</t>
  </si>
  <si>
    <t xml:space="preserve">TRAIRÍ 58X58 2.68m2 (PSI-66910)</t>
  </si>
  <si>
    <t xml:space="preserve">Descripcion</t>
  </si>
  <si>
    <t xml:space="preserve">Presentación</t>
  </si>
  <si>
    <t xml:space="preserve">Precio sistema</t>
  </si>
  <si>
    <t xml:space="preserve">Descuento autorizado</t>
  </si>
  <si>
    <t xml:space="preserve">Precio venta Final</t>
  </si>
  <si>
    <t xml:space="preserve">Cemix</t>
  </si>
  <si>
    <t xml:space="preserve">Polvos</t>
  </si>
  <si>
    <t xml:space="preserve">Adhesivo</t>
  </si>
  <si>
    <t xml:space="preserve">CMX77</t>
  </si>
  <si>
    <t xml:space="preserve"> ADHESIVO PORCELANICO GRIS 20 KG</t>
  </si>
  <si>
    <t xml:space="preserve">Saco</t>
  </si>
  <si>
    <t xml:space="preserve">20kg</t>
  </si>
  <si>
    <t xml:space="preserve">CMX115</t>
  </si>
  <si>
    <t xml:space="preserve"> BLANCO CERAMICO SACO 20KG</t>
  </si>
  <si>
    <t xml:space="preserve">CMX05</t>
  </si>
  <si>
    <t xml:space="preserve"> BLANCO UNIVERSAL 20KG</t>
  </si>
  <si>
    <t xml:space="preserve">8X7</t>
  </si>
  <si>
    <t xml:space="preserve">CMX02</t>
  </si>
  <si>
    <t xml:space="preserve"> PEGAPISO Y MARMOL BLANCO  20 KG</t>
  </si>
  <si>
    <t xml:space="preserve">CMX01</t>
  </si>
  <si>
    <t xml:space="preserve"> PEGAZULEJO BLANCO 20KG</t>
  </si>
  <si>
    <t xml:space="preserve">6X5</t>
  </si>
  <si>
    <t xml:space="preserve">CMX202</t>
  </si>
  <si>
    <t xml:space="preserve"> PORCELANICO GRIS PSP 20KG</t>
  </si>
  <si>
    <t xml:space="preserve">Sobrepedido </t>
  </si>
  <si>
    <t xml:space="preserve">Recubrimientos reforzados</t>
  </si>
  <si>
    <t xml:space="preserve">CMX691</t>
  </si>
  <si>
    <t xml:space="preserve">ADEBLOK PLUS AP 25 KG</t>
  </si>
  <si>
    <t xml:space="preserve">25kg</t>
  </si>
  <si>
    <t xml:space="preserve">Niasa</t>
  </si>
  <si>
    <t xml:space="preserve">PALBAZUL</t>
  </si>
  <si>
    <t xml:space="preserve">ADHESIVO PARA ALBERCA AZUL 20 KG</t>
  </si>
  <si>
    <t xml:space="preserve">PALBBLC</t>
  </si>
  <si>
    <t xml:space="preserve">ADHESIVO PARA ALBERCA BLANCO 20 KG</t>
  </si>
  <si>
    <t xml:space="preserve">PMARBLC</t>
  </si>
  <si>
    <t xml:space="preserve">ADHESIVO PEGAMARMOL BLANCO 20 KG</t>
  </si>
  <si>
    <t xml:space="preserve">PAZBLC</t>
  </si>
  <si>
    <t xml:space="preserve">ADHESIVO PEGAZULEJO BLANCO 20 KG</t>
  </si>
  <si>
    <t xml:space="preserve">PVIBLC</t>
  </si>
  <si>
    <t xml:space="preserve">ADHESIVO PISO SOBRE PISO PEGAVITRO BLANCO 20 KG</t>
  </si>
  <si>
    <t xml:space="preserve">POBLC10</t>
  </si>
  <si>
    <t xml:space="preserve">ADHESIVO POLIMOR BLANCO 10 KG</t>
  </si>
  <si>
    <t xml:space="preserve">10kg</t>
  </si>
  <si>
    <t xml:space="preserve">POLBLC</t>
  </si>
  <si>
    <t xml:space="preserve">ADHESIVO POLIMOR BLANCO 20 KG</t>
  </si>
  <si>
    <t xml:space="preserve">PTRAD</t>
  </si>
  <si>
    <t xml:space="preserve">ADHESIVO TRADICIONAL C-PEGA BLANCO 20 KG</t>
  </si>
  <si>
    <t xml:space="preserve">Especiales</t>
  </si>
  <si>
    <t xml:space="preserve">BFG</t>
  </si>
  <si>
    <t xml:space="preserve">BLUE FENCE GALON</t>
  </si>
  <si>
    <t xml:space="preserve">Galón</t>
  </si>
  <si>
    <t xml:space="preserve">3.78 lts</t>
  </si>
  <si>
    <t xml:space="preserve">Boquillas</t>
  </si>
  <si>
    <t xml:space="preserve">BS</t>
  </si>
  <si>
    <t xml:space="preserve">BOQUICHAMP SELLADO CON ARENA 10 KG</t>
  </si>
  <si>
    <t xml:space="preserve">BF</t>
  </si>
  <si>
    <t xml:space="preserve">BOQUICHAMP ULTRAFINA SIN ARENA 5 KG</t>
  </si>
  <si>
    <t xml:space="preserve">5kg</t>
  </si>
  <si>
    <t xml:space="preserve">CMX..</t>
  </si>
  <si>
    <t xml:space="preserve">BOQUILLA EXTRAFINA 2KG</t>
  </si>
  <si>
    <t xml:space="preserve">2kg</t>
  </si>
  <si>
    <t xml:space="preserve">BOQUILLEX PLUS CON ARENA 10KG</t>
  </si>
  <si>
    <t xml:space="preserve">BOQUILLEX UNIVERSAL SIN ARENA 5KG</t>
  </si>
  <si>
    <t xml:space="preserve">CMX1022</t>
  </si>
  <si>
    <t xml:space="preserve">CEMIX ADEBLOCK CONSTRUCTOR 25KG</t>
  </si>
  <si>
    <t xml:space="preserve">Hasta agotar existencias </t>
  </si>
  <si>
    <t xml:space="preserve">CMX102</t>
  </si>
  <si>
    <t xml:space="preserve">CEMIX ADEBLOCK CONSTRUCTOR 40KG</t>
  </si>
  <si>
    <t xml:space="preserve">40kg</t>
  </si>
  <si>
    <t xml:space="preserve">CMX69</t>
  </si>
  <si>
    <t xml:space="preserve">CEMIX ADEBLOK PLUS 40KG</t>
  </si>
  <si>
    <t xml:space="preserve">CMX1200</t>
  </si>
  <si>
    <t xml:space="preserve">CEMIX ADEBLOK PLUS FINO 25 KG</t>
  </si>
  <si>
    <t xml:space="preserve">CMX120</t>
  </si>
  <si>
    <t xml:space="preserve">CEMIX ADEBLOK PLUS FINO 40KG</t>
  </si>
  <si>
    <t xml:space="preserve">CMX116</t>
  </si>
  <si>
    <t xml:space="preserve">CEMIX AMU BLANCO 20KG</t>
  </si>
  <si>
    <t xml:space="preserve">CMX780</t>
  </si>
  <si>
    <t xml:space="preserve">CEMIX APLANADO 25 KG</t>
  </si>
  <si>
    <t xml:space="preserve">CMX78</t>
  </si>
  <si>
    <t xml:space="preserve">CEMIX APLANADO 40 KGS</t>
  </si>
  <si>
    <t xml:space="preserve">40kg </t>
  </si>
  <si>
    <t xml:space="preserve">CMX49</t>
  </si>
  <si>
    <t xml:space="preserve">CEMIX BASECOAT GRIS PREMIUM 20KG.</t>
  </si>
  <si>
    <t xml:space="preserve">Acabados arquitectonicos -Recubrimiento</t>
  </si>
  <si>
    <t xml:space="preserve">CMX177</t>
  </si>
  <si>
    <t xml:space="preserve">CEMIX DECON-CRETO 20KG</t>
  </si>
  <si>
    <t xml:space="preserve">Preparacion de superficies</t>
  </si>
  <si>
    <t xml:space="preserve">CMX952</t>
  </si>
  <si>
    <t xml:space="preserve">CEMIX MORTERO SECO 25 KG</t>
  </si>
  <si>
    <t xml:space="preserve">CMX101</t>
  </si>
  <si>
    <t xml:space="preserve">CEMIX MORTERO SECO 40 KG</t>
  </si>
  <si>
    <t xml:space="preserve">CMX153</t>
  </si>
  <si>
    <t xml:space="preserve">CEMIX PASTA FINA PLUS 20 KG</t>
  </si>
  <si>
    <t xml:space="preserve">CMX134</t>
  </si>
  <si>
    <t xml:space="preserve">CEMIX PEGAZULEJO GRIS 20KG</t>
  </si>
  <si>
    <t xml:space="preserve">CMX175</t>
  </si>
  <si>
    <t xml:space="preserve">CHUKU-MIX CEMIX SACO 20KG</t>
  </si>
  <si>
    <t xml:space="preserve">FIJAPORC</t>
  </si>
  <si>
    <t xml:space="preserve">FIJAPORCELANICO BLANCO 20 KG</t>
  </si>
  <si>
    <t xml:space="preserve">CMX68</t>
  </si>
  <si>
    <t xml:space="preserve">FORMATOS GRANDES 20KG</t>
  </si>
  <si>
    <t xml:space="preserve">Yinsa</t>
  </si>
  <si>
    <t xml:space="preserve">Sobre pedido - Culiacán</t>
  </si>
  <si>
    <t xml:space="preserve">Mortero</t>
  </si>
  <si>
    <t xml:space="preserve">YIN02</t>
  </si>
  <si>
    <t xml:space="preserve">MORTERMAX ENJARRE EXTRAFINO 25 KG</t>
  </si>
  <si>
    <t xml:space="preserve">Sobre pedido - Mazatlán</t>
  </si>
  <si>
    <t xml:space="preserve">Sobre pedido - Mochis</t>
  </si>
  <si>
    <t xml:space="preserve">YIN01</t>
  </si>
  <si>
    <t xml:space="preserve">MORTERMAX PEGUE DE BLOCK F100 25KG</t>
  </si>
  <si>
    <t xml:space="preserve">CMX100</t>
  </si>
  <si>
    <t xml:space="preserve">PEGAPISO Y MARMOL GRIS  20 KG</t>
  </si>
  <si>
    <t xml:space="preserve">CMX03</t>
  </si>
  <si>
    <t xml:space="preserve">PORCELANICO BLANCO PSP 20KG</t>
  </si>
  <si>
    <t xml:space="preserve">UG</t>
  </si>
  <si>
    <t xml:space="preserve">ULTRAGROUT BOQUICHAMP 1.25KG</t>
  </si>
  <si>
    <t xml:space="preserve">1.25kg</t>
  </si>
  <si>
    <t xml:space="preserve">ULTRAGROUT BOQUICHAMP 4KG</t>
  </si>
  <si>
    <t xml:space="preserve">4kg</t>
  </si>
  <si>
    <t xml:space="preserve">Yeso</t>
  </si>
  <si>
    <t xml:space="preserve">YIN13</t>
  </si>
  <si>
    <t xml:space="preserve">YESO MAX YESO TIPO READYMIX 25KG</t>
  </si>
  <si>
    <t xml:space="preserve">YIN11</t>
  </si>
  <si>
    <t xml:space="preserve">YESO MOCUZARI 25KG</t>
  </si>
  <si>
    <t xml:space="preserve">YIN17</t>
  </si>
  <si>
    <t xml:space="preserve">YESO MOCUZARI FL 25KG</t>
  </si>
  <si>
    <t xml:space="preserve">Fortaleza</t>
  </si>
  <si>
    <t xml:space="preserve">Master - Culiacán</t>
  </si>
  <si>
    <t xml:space="preserve">FORT001</t>
  </si>
  <si>
    <t xml:space="preserve">CEMENTO FORTALEZA PORTLAND 30 R RS 50KG</t>
  </si>
  <si>
    <t xml:space="preserve">50kg</t>
  </si>
  <si>
    <t xml:space="preserve">Master - Mochis</t>
  </si>
  <si>
    <t xml:space="preserve">Master - Mazatlán</t>
  </si>
  <si>
    <t xml:space="preserve">FORT002</t>
  </si>
  <si>
    <t xml:space="preserve">MORTERO FORTALEZA 50 KG</t>
  </si>
  <si>
    <t xml:space="preserve">FORT005</t>
  </si>
  <si>
    <t xml:space="preserve">CEMENTO FORTALEZA PORTLAND 30 R RS 25KG</t>
  </si>
  <si>
    <t xml:space="preserve">FORT006</t>
  </si>
  <si>
    <t xml:space="preserve">MORTERO FORTALEZA 25KG</t>
  </si>
  <si>
    <t xml:space="preserve">Cruz Azul</t>
  </si>
  <si>
    <t xml:space="preserve">CCA001</t>
  </si>
  <si>
    <t xml:space="preserve">CEMENTO CRUZ AZUL PORTLAND 30 R RS 50KG</t>
  </si>
  <si>
    <t xml:space="preserve">CCA003</t>
  </si>
  <si>
    <t xml:space="preserve">MORTERO CRUZ AZUL 50 KG</t>
  </si>
  <si>
    <t xml:space="preserve">CCA007</t>
  </si>
  <si>
    <t xml:space="preserve">CEMENTO CRUZ AZUL PORTLAND 30 R RS 25KG</t>
  </si>
  <si>
    <t xml:space="preserve">CCA008</t>
  </si>
  <si>
    <t xml:space="preserve">MORTERO CRUZ AZUL 25KG</t>
  </si>
  <si>
    <t xml:space="preserve">Impermeabilizante</t>
  </si>
  <si>
    <t xml:space="preserve">Complementos Impermeabilizantes</t>
  </si>
  <si>
    <t xml:space="preserve">CMX53</t>
  </si>
  <si>
    <t xml:space="preserve">BARNIZ SELLADOR BRILLO GALON </t>
  </si>
  <si>
    <t xml:space="preserve">Galon</t>
  </si>
  <si>
    <t xml:space="preserve">NA</t>
  </si>
  <si>
    <t xml:space="preserve">Otros</t>
  </si>
  <si>
    <t xml:space="preserve">Protectores de superficies</t>
  </si>
  <si>
    <t xml:space="preserve">CMX32</t>
  </si>
  <si>
    <t xml:space="preserve">LIMPIADOR DE PISOS Y BOQUILLAS </t>
  </si>
  <si>
    <t xml:space="preserve">1lt</t>
  </si>
  <si>
    <t xml:space="preserve">Precio autorizado</t>
  </si>
  <si>
    <t xml:space="preserve">Precio paquete</t>
  </si>
  <si>
    <t xml:space="preserve">Urrea</t>
  </si>
  <si>
    <t xml:space="preserve">Grifería Urrea</t>
  </si>
  <si>
    <t xml:space="preserve">Gifería Urrea</t>
  </si>
  <si>
    <t xml:space="preserve">GRIFERÍA URREA</t>
  </si>
  <si>
    <t xml:space="preserve">Grifería Dica</t>
  </si>
  <si>
    <t xml:space="preserve">Gifería Dica</t>
  </si>
  <si>
    <t xml:space="preserve">GRIFERÍA DICA</t>
  </si>
  <si>
    <t xml:space="preserve">Ceramica Castel</t>
  </si>
  <si>
    <t xml:space="preserve">Sanitarios</t>
  </si>
  <si>
    <t xml:space="preserve">CAS382</t>
  </si>
  <si>
    <t xml:space="preserve">SANITARIO ONE PIECE VENUS BLANCO</t>
  </si>
  <si>
    <t xml:space="preserve">PIEZA</t>
  </si>
  <si>
    <t xml:space="preserve">Ovalin</t>
  </si>
  <si>
    <t xml:space="preserve">CAS395</t>
  </si>
  <si>
    <t xml:space="preserve">OVALIN CONSTANZA BLANCO 425*425*160</t>
  </si>
  <si>
    <t xml:space="preserve">Griferia </t>
  </si>
  <si>
    <t xml:space="preserve">Monomando</t>
  </si>
  <si>
    <t xml:space="preserve">CAS459</t>
  </si>
  <si>
    <t xml:space="preserve">MONOMANDO ALTO DAMASCO 3210C</t>
  </si>
  <si>
    <t xml:space="preserve">Lavabo con pedestal</t>
  </si>
  <si>
    <t xml:space="preserve">CAS100221</t>
  </si>
  <si>
    <t xml:space="preserve">LAVABO LUANDA 510*860*405</t>
  </si>
  <si>
    <t xml:space="preserve">Monomando </t>
  </si>
  <si>
    <t xml:space="preserve">CAS461</t>
  </si>
  <si>
    <t xml:space="preserve">MONOMANDO LAVABO BAJO DAMASCO 3212C</t>
  </si>
  <si>
    <t xml:space="preserve">CAS1351</t>
  </si>
  <si>
    <t xml:space="preserve">CONSTANZA BLANCO +MONOMANDO ALTO DAMASCO </t>
  </si>
  <si>
    <t xml:space="preserve">Paquete Castel</t>
  </si>
  <si>
    <t xml:space="preserve">CASPAQ259</t>
  </si>
  <si>
    <t xml:space="preserve">CASPAQ260</t>
  </si>
  <si>
    <t xml:space="preserve">Muebles castel </t>
  </si>
  <si>
    <t xml:space="preserve">CASPAQ261</t>
  </si>
  <si>
    <t xml:space="preserve">CAS25754</t>
  </si>
  <si>
    <t xml:space="preserve">GALICIA 40 HAYA 400X500X220mm (INCLUYE LAVABO )</t>
  </si>
  <si>
    <t xml:space="preserve">Haya</t>
  </si>
  <si>
    <t xml:space="preserve">Griferia castel </t>
  </si>
  <si>
    <t xml:space="preserve">CASPAQ262</t>
  </si>
  <si>
    <t xml:space="preserve">Cerámica Urrea</t>
  </si>
  <si>
    <t xml:space="preserve">PAQALHSO1</t>
  </si>
  <si>
    <t xml:space="preserve">TAZA MONET AL HUESO</t>
  </si>
  <si>
    <t xml:space="preserve">TANQUE ANDROMEDA GS 4.8 AL</t>
  </si>
  <si>
    <t xml:space="preserve">LAVABO AUSTRIA 4" HUESO</t>
  </si>
  <si>
    <t xml:space="preserve">PEDESTAL AUSTRIA HUESO</t>
  </si>
  <si>
    <t xml:space="preserve">PAQALCORZOBCO</t>
  </si>
  <si>
    <t xml:space="preserve">TAZA ANDROMEDA BLANCO</t>
  </si>
  <si>
    <t xml:space="preserve">LAVABO AUSTRIA 1 TAL BLANCO</t>
  </si>
  <si>
    <t xml:space="preserve">TQ1033A021</t>
  </si>
  <si>
    <t xml:space="preserve">TANQUE CORZO</t>
  </si>
  <si>
    <t xml:space="preserve">Pedestal Austria blanco</t>
  </si>
  <si>
    <t xml:space="preserve">PAQEHSO</t>
  </si>
  <si>
    <t xml:space="preserve">TAZA NAVIA STAR HUESO</t>
  </si>
  <si>
    <t xml:space="preserve">TANQUE FÉNIX RD HUESO</t>
  </si>
  <si>
    <t xml:space="preserve">LAVABO COSMOS 4" HUESO</t>
  </si>
  <si>
    <t xml:space="preserve">TZ2051A021</t>
  </si>
  <si>
    <t xml:space="preserve">ONE PIECE QUADRO II</t>
  </si>
  <si>
    <t xml:space="preserve">TZ2053A021</t>
  </si>
  <si>
    <t xml:space="preserve">ONE PÍECE VIESCA</t>
  </si>
  <si>
    <t xml:space="preserve">TZ2060A021</t>
  </si>
  <si>
    <t xml:space="preserve">ONE PIECE SERRA</t>
  </si>
  <si>
    <t xml:space="preserve">TZ2061A021</t>
  </si>
  <si>
    <t xml:space="preserve">ONE PIECE ATLANTICA BLANCO II</t>
  </si>
  <si>
    <t xml:space="preserve">WC.4006.01</t>
  </si>
  <si>
    <t xml:space="preserve">SANITARIO ONE PIECE DICA BLANCO ALARGADO</t>
  </si>
  <si>
    <t xml:space="preserve">WC.4007.01</t>
  </si>
  <si>
    <t xml:space="preserve">One piece Dica 4007</t>
  </si>
  <si>
    <t xml:space="preserve">KLM1003A021</t>
  </si>
  <si>
    <t xml:space="preserve">Paquete Lavabo Kuun más Monomando</t>
  </si>
  <si>
    <t xml:space="preserve">LV.4008.01</t>
  </si>
  <si>
    <t xml:space="preserve">Lavabo Cuadrado de 1 Taladro (Blanco)</t>
  </si>
  <si>
    <t xml:space="preserve">Medida</t>
  </si>
  <si>
    <t xml:space="preserve">Descuento </t>
  </si>
  <si>
    <t xml:space="preserve">Redtools</t>
  </si>
  <si>
    <t xml:space="preserve">Herramientas</t>
  </si>
  <si>
    <t xml:space="preserve">REDTOOLS</t>
  </si>
  <si>
    <t xml:space="preserve">Aquaplas</t>
  </si>
  <si>
    <t xml:space="preserve">Plomeria </t>
  </si>
  <si>
    <t xml:space="preserve">Tinacos </t>
  </si>
  <si>
    <t xml:space="preserve">CMX200</t>
  </si>
  <si>
    <t xml:space="preserve">TINACO TRICAPA NEGRO 750 LT</t>
  </si>
  <si>
    <t xml:space="preserve">LT</t>
  </si>
  <si>
    <t xml:space="preserve">CMX26</t>
  </si>
  <si>
    <t xml:space="preserve">TINACO TRICAPA NEGRO 450 LT BASICO</t>
  </si>
  <si>
    <t xml:space="preserve">CMX171</t>
  </si>
  <si>
    <t xml:space="preserve">TINACO TRICAPA NEGRO 1100 LT</t>
  </si>
  <si>
    <t xml:space="preserve">CMX42</t>
  </si>
  <si>
    <t xml:space="preserve">TINACO TRICAPA BEIGE 750 LT BASICO</t>
  </si>
  <si>
    <t xml:space="preserve">Machen </t>
  </si>
  <si>
    <t xml:space="preserve">Tarjas </t>
  </si>
  <si>
    <t xml:space="preserve">MCKENDRA</t>
  </si>
  <si>
    <t xml:space="preserve">TARJA MULTIFUNCIONAL KENDRA</t>
  </si>
  <si>
    <t xml:space="preserve">Pieza </t>
  </si>
  <si>
    <t xml:space="preserve">MCKENDALL</t>
  </si>
  <si>
    <t xml:space="preserve">TARJA MULTIFUNCIONAL KENDALL</t>
  </si>
  <si>
    <t xml:space="preserve">Muebles </t>
  </si>
  <si>
    <t xml:space="preserve">Mueble de Baño</t>
  </si>
  <si>
    <t xml:space="preserve">MCPLATINO</t>
  </si>
  <si>
    <t xml:space="preserve">MUEBLE CABINET PLATINO</t>
  </si>
  <si>
    <t xml:space="preserve">MCDALISO</t>
  </si>
  <si>
    <t xml:space="preserve">MUEBLE ALUMINIO DALISO</t>
  </si>
  <si>
    <t xml:space="preserve">MCUKESH</t>
  </si>
  <si>
    <t xml:space="preserve">Mueble Aluminio Ukesh</t>
  </si>
  <si>
    <t xml:space="preserve">Agotado con proveedor, llega hasta diciembre </t>
  </si>
  <si>
    <t xml:space="preserve">MCAGNI</t>
  </si>
  <si>
    <t xml:space="preserve">MUEBLE CABINET AGNI</t>
  </si>
  <si>
    <t xml:space="preserve">MCRUBI</t>
  </si>
  <si>
    <t xml:space="preserve">MUEBLE CABINET RUBI (ESPEJO LED RECTANGULAR)</t>
  </si>
  <si>
    <t xml:space="preserve">MCONIX</t>
  </si>
  <si>
    <t xml:space="preserve">MUEBLE CABINET ONIX (ESPEJO)</t>
  </si>
  <si>
    <t xml:space="preserve">MCFORCISM</t>
  </si>
  <si>
    <t xml:space="preserve">MUEBLE CABINET FORCIS M</t>
  </si>
  <si>
    <t xml:space="preserve">MCAGRO</t>
  </si>
  <si>
    <t xml:space="preserve">MUEBLE CABINET AGRO</t>
  </si>
  <si>
    <t xml:space="preserve">MCLUTHER</t>
  </si>
  <si>
    <t xml:space="preserve">MUEBLE CABINET LUTHER</t>
  </si>
  <si>
    <t xml:space="preserve">MCLATON</t>
  </si>
  <si>
    <t xml:space="preserve">MUEBLE CABINET LATON</t>
  </si>
  <si>
    <t xml:space="preserve">Greda</t>
  </si>
  <si>
    <t xml:space="preserve">Perfiles</t>
  </si>
  <si>
    <t xml:space="preserve">Perfiles Greda</t>
  </si>
  <si>
    <t xml:space="preserve">GRE126</t>
  </si>
  <si>
    <t xml:space="preserve">PERFIL DE ALUMINIO (L) A350 PLATA 10 ML X 2.44 MTS</t>
  </si>
  <si>
    <t xml:space="preserve">GRE01</t>
  </si>
  <si>
    <t xml:space="preserve">PERFIL DE ALUMINIO SILVER POLISHED 2.44X10ML</t>
  </si>
  <si>
    <t xml:space="preserve">GRE03</t>
  </si>
  <si>
    <t xml:space="preserve">PERFIL DE ALUMINIO SILVER MATT 2.44X10ML</t>
  </si>
  <si>
    <t xml:space="preserve">GRE47</t>
  </si>
  <si>
    <t xml:space="preserve">PERFIL DE ALUMINIO BLACK POLISHED 2.44X10ML</t>
  </si>
  <si>
    <t xml:space="preserve">Quarella&amp;Decor</t>
  </si>
  <si>
    <t xml:space="preserve">Espejos</t>
  </si>
  <si>
    <t xml:space="preserve">Espejos Quarella</t>
  </si>
  <si>
    <t xml:space="preserve">QD003</t>
  </si>
  <si>
    <t xml:space="preserve">ESPEJO VERIN 80X60 CM BT LED</t>
  </si>
  <si>
    <t xml:space="preserve">QD006</t>
  </si>
  <si>
    <t xml:space="preserve">ESPEJO AROSA 60 CM DECO LED</t>
  </si>
  <si>
    <t xml:space="preserve">QD0073</t>
  </si>
  <si>
    <t xml:space="preserve">ESPEJO SARIEGO </t>
  </si>
  <si>
    <t xml:space="preserve">QD0074</t>
  </si>
  <si>
    <t xml:space="preserve">ESPEJO RIOSA</t>
  </si>
  <si>
    <t xml:space="preserve">QD0075</t>
  </si>
  <si>
    <t xml:space="preserve">ESPEJO TINEO </t>
  </si>
  <si>
    <t xml:space="preserve">QD0076</t>
  </si>
  <si>
    <t xml:space="preserve">ESPEJO LANGREO </t>
  </si>
  <si>
    <t xml:space="preserve">QD0077</t>
  </si>
  <si>
    <t xml:space="preserve">ESPEJO PRAVIA</t>
  </si>
  <si>
    <t xml:space="preserve">RoalVolt</t>
  </si>
  <si>
    <t xml:space="preserve">Espejos Roalvolt</t>
  </si>
  <si>
    <t xml:space="preserve">ESPEJO LED REDONDO 60CM 3 TONOS-ANTIEMPAÑANTE ROALVOLT</t>
  </si>
  <si>
    <t xml:space="preserve">60 cm</t>
  </si>
  <si>
    <t xml:space="preserve">ESPEJO LED RECTANGULAR 50x70CM TONOS-ANTIEMPAÑANTE ROALVOLT</t>
  </si>
  <si>
    <t xml:space="preserve">50x70 cm</t>
  </si>
  <si>
    <t xml:space="preserve">Fortius</t>
  </si>
  <si>
    <t xml:space="preserve">Lavaderos</t>
  </si>
  <si>
    <t xml:space="preserve">Lavadero de Granito</t>
  </si>
  <si>
    <t xml:space="preserve">DEB10</t>
  </si>
  <si>
    <t xml:space="preserve">LAVADERO DE GRANITO EMPOTRABLE CON PILA 61*61CM</t>
  </si>
  <si>
    <t xml:space="preserve">DEB11</t>
  </si>
  <si>
    <t xml:space="preserve">Lavadero Granito ND sin pila para empotrar 51 * 65 cm</t>
  </si>
  <si>
    <t xml:space="preserve">DEB12</t>
  </si>
  <si>
    <t xml:space="preserve">Lavadero Granito sin pila para empotrar 60*40 CM</t>
  </si>
  <si>
    <t xml:space="preserve">DEB8</t>
  </si>
  <si>
    <t xml:space="preserve">Lavadero Granito ND Chico para empotrar 75 * 70 cm</t>
  </si>
  <si>
    <t xml:space="preserve">Precio regular</t>
  </si>
  <si>
    <t xml:space="preserve">Descuento</t>
  </si>
  <si>
    <t xml:space="preserve">Precio Remate</t>
  </si>
  <si>
    <t xml:space="preserve">Descontinuado</t>
  </si>
  <si>
    <t xml:space="preserve">CAS2227</t>
  </si>
  <si>
    <t xml:space="preserve">PISO AMANI GREY PULIDO 60X120 CAJA 1.44M2</t>
  </si>
  <si>
    <t xml:space="preserve">CAS100261</t>
  </si>
  <si>
    <t xml:space="preserve">PISO GEORGIA ACQUA 80X160 2.56M2</t>
  </si>
  <si>
    <t xml:space="preserve">CAS100268</t>
  </si>
  <si>
    <t xml:space="preserve">PISO OASIS BLANCO 120X120 2.88M2</t>
  </si>
  <si>
    <t xml:space="preserve">CAS21</t>
  </si>
  <si>
    <t xml:space="preserve">PISO PORCELANICO REC IMPERIA NEGRO 60X60 1.44 M2 CAJA</t>
  </si>
  <si>
    <t xml:space="preserve">CAS14</t>
  </si>
  <si>
    <t xml:space="preserve">PISO PORCELANICO REC TOSCANA 60X60 1.44 M2 CAJA </t>
  </si>
  <si>
    <t xml:space="preserve">CAS08</t>
  </si>
  <si>
    <t xml:space="preserve">PISO PORCELANICO REC BAVENO 60X60 1.44M2 CAJA</t>
  </si>
  <si>
    <t xml:space="preserve">CAS999993</t>
  </si>
  <si>
    <t xml:space="preserve">PISO BUSAN PULIDO WHITE 60X120 1.44</t>
  </si>
  <si>
    <t xml:space="preserve">CAS100193</t>
  </si>
  <si>
    <t xml:space="preserve">PISOS ECLIPSE NEGRO VP 60X120 1.44M2</t>
  </si>
  <si>
    <t xml:space="preserve">CAS100234</t>
  </si>
  <si>
    <t xml:space="preserve">PISO BELLAGIO NEGRO 60X60 1.44M2</t>
  </si>
  <si>
    <t xml:space="preserve">Hydromagic</t>
  </si>
  <si>
    <t xml:space="preserve">Tinas</t>
  </si>
  <si>
    <t xml:space="preserve">Tinas Hydromagic</t>
  </si>
  <si>
    <t xml:space="preserve">HYDRO8</t>
  </si>
  <si>
    <t xml:space="preserve">TINA DE  HIDROMASAJE PADUA I STATUS 1.20X.75.36 </t>
  </si>
  <si>
    <t xml:space="preserve">Ceramica</t>
  </si>
  <si>
    <t xml:space="preserve">Lavabos y Ovalines</t>
  </si>
  <si>
    <t xml:space="preserve">QD052</t>
  </si>
  <si>
    <t xml:space="preserve">OVALIN QUARELLA TIMOR 500X390X130 MM</t>
  </si>
  <si>
    <t xml:space="preserve">QD057</t>
  </si>
  <si>
    <t xml:space="preserve">OVALIN QUARELLA GUINEA 405X405X145 MM</t>
  </si>
  <si>
    <t xml:space="preserve">QD059</t>
  </si>
  <si>
    <t xml:space="preserve">OVALIN QUARELLA MUNA NEGRO 380X380X135 MM</t>
  </si>
  <si>
    <t xml:space="preserve">QD044</t>
  </si>
  <si>
    <t xml:space="preserve">OVALIN QUARELLA  ARUBA 500X405X120MM</t>
  </si>
  <si>
    <t xml:space="preserve">QD055</t>
  </si>
  <si>
    <t xml:space="preserve">OVALIN QUARELLA JAVA PLATA 360X360X125 MM</t>
  </si>
  <si>
    <t xml:space="preserve">QD054</t>
  </si>
  <si>
    <t xml:space="preserve">OVALIN QUARELLA ANTILLAS 500X355X110 MM</t>
  </si>
  <si>
    <t xml:space="preserve">QD053</t>
  </si>
  <si>
    <t xml:space="preserve">OVALIN QUARELLA SAMOA ORO 360X360X125MM</t>
  </si>
  <si>
    <t xml:space="preserve">QD072</t>
  </si>
  <si>
    <t xml:space="preserve">OVALIN QUARELLA TASOS ORO 450X320X135</t>
  </si>
  <si>
    <t xml:space="preserve">CAS770</t>
  </si>
  <si>
    <t xml:space="preserve">VOSS 66 GRAY 60X60 5PZ 1.80M2</t>
  </si>
  <si>
    <t xml:space="preserve">CAS100105</t>
  </si>
  <si>
    <t xml:space="preserve">PISO CITY 66 IVORY 60X60 5PZ 1.80M2</t>
  </si>
  <si>
    <t xml:space="preserve">CAS10099</t>
  </si>
  <si>
    <t xml:space="preserve">PISO CITY 66 OXFORD 60X60 5PZ 1.80M2</t>
  </si>
  <si>
    <t xml:space="preserve">CAS2001</t>
  </si>
  <si>
    <t xml:space="preserve">PISO E-DIVA 44 BEIGE 47X47 9PZ 1.99M2</t>
  </si>
  <si>
    <t xml:space="preserve">CAS100106</t>
  </si>
  <si>
    <t xml:space="preserve">PISO DOMINIQUE 26 WHITE MATE 22.5X60 1.89M2</t>
  </si>
  <si>
    <t xml:space="preserve">CAS9403</t>
  </si>
  <si>
    <t xml:space="preserve">PISO CANTABRIA 32 BEIGE 30X120 1.76M2 REC</t>
  </si>
  <si>
    <t xml:space="preserve">CAS9406</t>
  </si>
  <si>
    <t xml:space="preserve">PISO RECT COUVET 22 SILVER 20X120 1.83M2</t>
  </si>
  <si>
    <t xml:space="preserve">CAS9404</t>
  </si>
  <si>
    <t xml:space="preserve">PISO REC COUVET 22 ALMOND 20X120 1.83M2</t>
  </si>
  <si>
    <t xml:space="preserve">CAS9405</t>
  </si>
  <si>
    <t xml:space="preserve">PISO RECT COUVET 22 GOLD 20X120 1.83M2</t>
  </si>
  <si>
    <t xml:space="preserve">CAS4523</t>
  </si>
  <si>
    <t xml:space="preserve">VOSS 66 IVORY 60X60 5PZ 1.80M2 CALIDAD COMERCIAL </t>
  </si>
  <si>
    <t xml:space="preserve">CAS94017</t>
  </si>
  <si>
    <t xml:space="preserve">PISO YUNN 32 MOKA 30X120 1.76M2</t>
  </si>
  <si>
    <t xml:space="preserve">Kit Constanza</t>
  </si>
  <si>
    <t xml:space="preserve">CAS7485</t>
  </si>
  <si>
    <t xml:space="preserve">KIT CONSTANZA PRO (LV CONSTANZA PRO+MONOM ALTO DAMASCO B)</t>
  </si>
  <si>
    <t xml:space="preserve">Sanitario </t>
  </si>
  <si>
    <t xml:space="preserve">CAS7514</t>
  </si>
  <si>
    <t xml:space="preserve">WC NEMESIS PRO</t>
  </si>
  <si>
    <t xml:space="preserve">Griferia</t>
  </si>
  <si>
    <t xml:space="preserve">CAS462</t>
  </si>
  <si>
    <t xml:space="preserve">MONOMANDO LAVABO BAJO OLIMPIA 6801V</t>
  </si>
  <si>
    <t xml:space="preserve">GRE160</t>
  </si>
  <si>
    <t xml:space="preserve">LISTELO ALUM. PLATA BRILLO 10X12MM</t>
  </si>
  <si>
    <t xml:space="preserve">GRE138</t>
  </si>
  <si>
    <t xml:space="preserve">LISTELO ALUM. 10X25 PLATA BRILLO</t>
  </si>
  <si>
    <t xml:space="preserve">GRE166</t>
  </si>
  <si>
    <t xml:space="preserve">PELDAÑO ALUMINIO INT. 20MM PLATA</t>
  </si>
  <si>
    <t xml:space="preserve">GRE164</t>
  </si>
  <si>
    <t xml:space="preserve">PERFIL DE ALUMINIO (T) A20 PLATA BRILLO 10MLX2.44M</t>
  </si>
  <si>
    <t xml:space="preserve">GRE50</t>
  </si>
  <si>
    <t xml:space="preserve">PERFIL DE ALUMINIO GOLD MATT 2.44X10</t>
  </si>
  <si>
    <t xml:space="preserve">GRE02</t>
  </si>
  <si>
    <t xml:space="preserve">PERFIL DE ALUMINIO BRONZE POLISHED 2.44X10ML</t>
  </si>
  <si>
    <t xml:space="preserve">GRE49</t>
  </si>
  <si>
    <t xml:space="preserve">PERFIL DE ALUMINIO GOLD POLISHED 2.44X10</t>
  </si>
  <si>
    <t xml:space="preserve">GRE53</t>
  </si>
  <si>
    <t xml:space="preserve">PERFIL DE ALUMINIO CHAMPAGNE MATT 2.44X10</t>
  </si>
  <si>
    <t xml:space="preserve">GRE162</t>
  </si>
  <si>
    <t xml:space="preserve">PERFIL DE ALUMINIO MARFIL 10.5MM</t>
  </si>
  <si>
    <t xml:space="preserve">GRE218</t>
  </si>
  <si>
    <t xml:space="preserve">PERFIL ALUMINIO COFFEE MATE 10 MM X 2.44 M</t>
  </si>
  <si>
    <t xml:space="preserve">GRE51</t>
  </si>
  <si>
    <t xml:space="preserve">PERFIL DE ALUMINIO BRONZE MATT 2.44X10</t>
  </si>
  <si>
    <t xml:space="preserve">GRE21800</t>
  </si>
  <si>
    <t xml:space="preserve">PERFIL ALUMINIO ROSE GOLD MATE 10MM X 2.44M</t>
  </si>
  <si>
    <t xml:space="preserve">GRE159</t>
  </si>
  <si>
    <t xml:space="preserve">LISTELO ALUM. BRONCE BRILLO 10X12MM</t>
  </si>
  <si>
    <t xml:space="preserve">GRE167</t>
  </si>
  <si>
    <t xml:space="preserve">PELDAÑO ALUMINIO INT. 20MM BRONCE</t>
  </si>
  <si>
    <t xml:space="preserve">GRE165</t>
  </si>
  <si>
    <t xml:space="preserve">PERFIL DE ALUMINIO (T) A20 BRONCE BRILLO 10MLX2.44M</t>
  </si>
  <si>
    <t xml:space="preserve">GRE183</t>
  </si>
  <si>
    <t xml:space="preserve">PERFIL DE ALUMINIO ROSE GOLD 10 MM X 2.44 M</t>
  </si>
  <si>
    <t xml:space="preserve">GRE52</t>
  </si>
  <si>
    <t xml:space="preserve">PERFIL DE ALUMINIO CHAMPAGNE POLISHED 2.44X10</t>
  </si>
  <si>
    <t xml:space="preserve">GRE137</t>
  </si>
  <si>
    <t xml:space="preserve">LISTELO ALUM 10X25 MM. BRONCE BRILLO</t>
  </si>
  <si>
    <t xml:space="preserve">GRE163</t>
  </si>
  <si>
    <t xml:space="preserve">PERFIL DE ALUMINIO MARRON 10.5MM</t>
  </si>
  <si>
    <t xml:space="preserve">GRE154</t>
  </si>
  <si>
    <t xml:space="preserve">PERFIL DE ALUMINIO 10X12 MM  PLATA BRILLO</t>
  </si>
  <si>
    <t xml:space="preserve">GRE158</t>
  </si>
  <si>
    <t xml:space="preserve">ZOCLO DE ALUMINO COLOR BRONCE 7CM X 2.44M</t>
  </si>
  <si>
    <t xml:space="preserve">GRE155</t>
  </si>
  <si>
    <t xml:space="preserve">ZOCLO DE ALUMINO COLOR PLATA 7CM X 2.44M</t>
  </si>
  <si>
    <t xml:space="preserve">GRE181</t>
  </si>
  <si>
    <t xml:space="preserve">PERFIL ALUMINIO OLIVE MATE 10 MM X 2.44 M PZA</t>
  </si>
  <si>
    <t xml:space="preserve">Mallas</t>
  </si>
  <si>
    <t xml:space="preserve">Mallas greda</t>
  </si>
  <si>
    <t xml:space="preserve">GRE128</t>
  </si>
  <si>
    <t xml:space="preserve">MALLA IBERIA BEIGE 30X30</t>
  </si>
  <si>
    <t xml:space="preserve">GRE177</t>
  </si>
  <si>
    <t xml:space="preserve">MALLA CAIRO 30X30 PZA</t>
  </si>
  <si>
    <t xml:space="preserve">GRE132</t>
  </si>
  <si>
    <t xml:space="preserve">MALLA LATITUDE CAFE 30X30</t>
  </si>
  <si>
    <t xml:space="preserve">GRE171</t>
  </si>
  <si>
    <t xml:space="preserve">MALLA FARAON 30X30 PZA</t>
  </si>
  <si>
    <t xml:space="preserve">GRE151</t>
  </si>
  <si>
    <t xml:space="preserve">MOSAICO 30X30 VINTAGE GOLD</t>
  </si>
  <si>
    <t xml:space="preserve">GRE24</t>
  </si>
  <si>
    <t xml:space="preserve">MOSAICO ELEGANCE BEIGE 24X24 CM</t>
  </si>
  <si>
    <t xml:space="preserve">Fachada</t>
  </si>
  <si>
    <t xml:space="preserve">GRE217</t>
  </si>
  <si>
    <t xml:space="preserve">NOVO FACHADA GALARZA CAMEL 40X60 PZA</t>
  </si>
  <si>
    <t xml:space="preserve">GRE210</t>
  </si>
  <si>
    <t xml:space="preserve">NOVO FACHADA LAJA PERLA 15X60 CM  PIEZA</t>
  </si>
  <si>
    <t xml:space="preserve">GRE214</t>
  </si>
  <si>
    <t xml:space="preserve">NOVO FACHADA LAJA AZURE 15X60 PZA-DESCONTINUADA</t>
  </si>
  <si>
    <t xml:space="preserve">GRE254</t>
  </si>
  <si>
    <t xml:space="preserve">MOSAICO VALENCIA BEIGE 30X30 CM</t>
  </si>
  <si>
    <t xml:space="preserve">GRE22</t>
  </si>
  <si>
    <t xml:space="preserve">MOSAICO CHES METAL 30X30 CM</t>
  </si>
  <si>
    <t xml:space="preserve">GRE216</t>
  </si>
  <si>
    <t xml:space="preserve">NOVO FACHADA LAJA VOLCANICA 15X60 PZA</t>
  </si>
  <si>
    <t xml:space="preserve">GRE45</t>
  </si>
  <si>
    <t xml:space="preserve">MOSAICO GREEN NATURAL T-2 30X30 CM</t>
  </si>
  <si>
    <t xml:space="preserve">GRE257</t>
  </si>
  <si>
    <t xml:space="preserve">MOSAICO LISBOA MARRON 30X30 CM</t>
  </si>
  <si>
    <t xml:space="preserve">GRE44</t>
  </si>
  <si>
    <t xml:space="preserve">MOSAICO BLUE DREAM T-3 30X30 CM</t>
  </si>
  <si>
    <t xml:space="preserve">GRE174</t>
  </si>
  <si>
    <t xml:space="preserve">MALLA CARRARA MOSA 30X30 PZA</t>
  </si>
  <si>
    <t xml:space="preserve">GRE136</t>
  </si>
  <si>
    <t xml:space="preserve">MALLA GALAXI DARK 30X30</t>
  </si>
  <si>
    <t xml:space="preserve">GRE173</t>
  </si>
  <si>
    <t xml:space="preserve">MALLA RAMSES 30X30 PZA</t>
  </si>
  <si>
    <t xml:space="preserve">GRE179</t>
  </si>
  <si>
    <t xml:space="preserve">MALLA BRILLO BLUE DREAM 30X30 PZA GREDA</t>
  </si>
  <si>
    <t xml:space="preserve">GRE129</t>
  </si>
  <si>
    <t xml:space="preserve">MALLA LATITUDE BEIGE 30X30</t>
  </si>
  <si>
    <t xml:space="preserve">GRE144</t>
  </si>
  <si>
    <t xml:space="preserve">MALLA LATITUDE INOX 30X30</t>
  </si>
  <si>
    <t xml:space="preserve">GRE133</t>
  </si>
  <si>
    <t xml:space="preserve">MALLA ARGENTA SILVER 30X30</t>
  </si>
  <si>
    <t xml:space="preserve">GRE212</t>
  </si>
  <si>
    <t xml:space="preserve">NOVO FACHADA PIEDRIN OXFORD 15X60 CM PIEZA</t>
  </si>
  <si>
    <t xml:space="preserve">GRE153</t>
  </si>
  <si>
    <t xml:space="preserve">MALLA ITALIA BEIGE 30X30</t>
  </si>
  <si>
    <t xml:space="preserve">GRE131</t>
  </si>
  <si>
    <t xml:space="preserve">MALLA BLACK AND WHITE 30X30</t>
  </si>
  <si>
    <t xml:space="preserve">GRE145</t>
  </si>
  <si>
    <t xml:space="preserve">MALLA COSMOS SILVER 30X30</t>
  </si>
  <si>
    <t xml:space="preserve">GRE175</t>
  </si>
  <si>
    <t xml:space="preserve">MALLA MARFIL MOSA 30X30 PZA</t>
  </si>
  <si>
    <t xml:space="preserve">GRE130</t>
  </si>
  <si>
    <t xml:space="preserve">MALLA BRILLO BEIGE MOKA 30X30</t>
  </si>
  <si>
    <t xml:space="preserve">GRE146</t>
  </si>
  <si>
    <t xml:space="preserve">MALLA NILO SILVER  30X30</t>
  </si>
  <si>
    <t xml:space="preserve">GRE127</t>
  </si>
  <si>
    <t xml:space="preserve">MALLA ARGENTA BEIGE 30X30</t>
  </si>
  <si>
    <t xml:space="preserve">GRE143</t>
  </si>
  <si>
    <t xml:space="preserve">MALLA LISBOA BEIGE 30X30</t>
  </si>
  <si>
    <t xml:space="preserve">GRE119</t>
  </si>
  <si>
    <t xml:space="preserve">MOSAICO 30X30 SPACE BLACK</t>
  </si>
  <si>
    <t xml:space="preserve">GRE152</t>
  </si>
  <si>
    <t xml:space="preserve">MALLA ATLANTIC BLUE 30X30</t>
  </si>
  <si>
    <t xml:space="preserve">GRE150</t>
  </si>
  <si>
    <t xml:space="preserve">MOSAICO 30X30 PARIS GOLD</t>
  </si>
  <si>
    <t xml:space="preserve">GRE134</t>
  </si>
  <si>
    <t xml:space="preserve">MALLA BRASIL BEIGE 30X30</t>
  </si>
  <si>
    <t xml:space="preserve">Muebles Machen </t>
  </si>
  <si>
    <t xml:space="preserve">MCZAFIRO</t>
  </si>
  <si>
    <t xml:space="preserve">MUEBLE CABINET ZAFIRO (ESPEJO LED)</t>
  </si>
  <si>
    <t xml:space="preserve">MCCUARZO</t>
  </si>
  <si>
    <t xml:space="preserve">MUEBLE CABINET CUARZO</t>
  </si>
  <si>
    <t xml:space="preserve">MCJASPE</t>
  </si>
  <si>
    <t xml:space="preserve">MUEBLE CABINET JASPE</t>
  </si>
  <si>
    <t xml:space="preserve">Muebles Castel</t>
  </si>
  <si>
    <t xml:space="preserve">CAS542</t>
  </si>
  <si>
    <t xml:space="preserve">MUEBLE DE BAÑO ALMERIA 100 1000X450X500</t>
  </si>
  <si>
    <t xml:space="preserve">CAS2123</t>
  </si>
  <si>
    <t xml:space="preserve">MUEBLE DE BAÑO SORIA 120 ROBLE NATURAL 1200X840X450</t>
  </si>
  <si>
    <t xml:space="preserve">TZ2062A021</t>
  </si>
  <si>
    <t xml:space="preserve">ONE PIECE BRAVO</t>
  </si>
  <si>
    <t xml:space="preserve">LAVABO DICA BLANCO CON MONOMANDO (LAV LV.4302.01+MON 4439)</t>
  </si>
  <si>
    <t xml:space="preserve">Harrintong</t>
  </si>
  <si>
    <t xml:space="preserve">Ceramica Harrintong</t>
  </si>
  <si>
    <t xml:space="preserve">Lavabo</t>
  </si>
  <si>
    <t xml:space="preserve">BAS-001</t>
  </si>
  <si>
    <t xml:space="preserve">LAVABO DOVER RECT SP BLANCO</t>
  </si>
  <si>
    <t xml:space="preserve">BAS-002</t>
  </si>
  <si>
    <t xml:space="preserve">LAVABO BODIAM RED SP BLANCO</t>
  </si>
  <si>
    <t xml:space="preserve">BAS-003</t>
  </si>
  <si>
    <t xml:space="preserve">LAVABO OXFORD RECT SP BLANCO</t>
  </si>
  <si>
    <t xml:space="preserve">BAS-004</t>
  </si>
  <si>
    <t xml:space="preserve">LAVABO CARDIFF RED SP BLANCO</t>
  </si>
  <si>
    <t xml:space="preserve">BAS-005</t>
  </si>
  <si>
    <t xml:space="preserve">LAVABO ROCHESTER RECT SP BLANCO</t>
  </si>
  <si>
    <t xml:space="preserve">BAS-006</t>
  </si>
  <si>
    <t xml:space="preserve">LAVABO LANCASTER RED SP BLANCO</t>
  </si>
  <si>
    <t xml:space="preserve">BAS-007</t>
  </si>
  <si>
    <t xml:space="preserve">LAVABO ABADIA REDONDO SOBRE PONER</t>
  </si>
  <si>
    <t xml:space="preserve">BAS-008</t>
  </si>
  <si>
    <t xml:space="preserve">LAVABO HEVER RED SP BLANCO</t>
  </si>
  <si>
    <t xml:space="preserve">BAS-009</t>
  </si>
  <si>
    <t xml:space="preserve">LAVABO CARDIGAN CUADRADO DSP BLANCO</t>
  </si>
  <si>
    <t xml:space="preserve">Sanitario</t>
  </si>
  <si>
    <t xml:space="preserve">TL-W001</t>
  </si>
  <si>
    <t xml:space="preserve">WC ONE PIECE LONDON BLANCO</t>
  </si>
  <si>
    <t xml:space="preserve">TL-W002</t>
  </si>
  <si>
    <t xml:space="preserve">WC ONE PIECE LIVERPOOL BLANCO</t>
  </si>
  <si>
    <t xml:space="preserve">TL-W002CC</t>
  </si>
  <si>
    <t xml:space="preserve">WC ONE PIECE LIVERPOOL BLANCO C.C.</t>
  </si>
  <si>
    <t xml:space="preserve">TL-W003</t>
  </si>
  <si>
    <t xml:space="preserve">WC ONE PIECE MANCHESTER BLANCO</t>
  </si>
  <si>
    <t xml:space="preserve">Daltile </t>
  </si>
  <si>
    <t xml:space="preserve">G1042448R1P7</t>
  </si>
  <si>
    <t xml:space="preserve">G104 60X120 Trend Black Rectificado 1a Cal 1.44M2</t>
  </si>
  <si>
    <t xml:space="preserve">ZAR41836C1P7</t>
  </si>
  <si>
    <t xml:space="preserve">ZAR4 45 cm x 90 cm Artesa Obscuro 1a Cal. 1.62M2</t>
  </si>
  <si>
    <t xml:space="preserve">GSS21224RC1P7</t>
  </si>
  <si>
    <t xml:space="preserve">GSS2 30 cm x 60 cm Rect. Sandstone Gray 1a. Cal. 1.44m2</t>
  </si>
  <si>
    <t xml:space="preserve">ZAM61836RC1P7</t>
  </si>
  <si>
    <t xml:space="preserve">ZAM6 45 cm x 90 cm Rect. Atempo Gris1a Cal 1.6M2</t>
  </si>
  <si>
    <t xml:space="preserve">LH0122MS1Y2</t>
  </si>
  <si>
    <t xml:space="preserve">LH01 5x5 Café Lyndhurst 1a.Cal 2.19M2</t>
  </si>
  <si>
    <t xml:space="preserve">ZAW2836RD1P7</t>
  </si>
  <si>
    <t xml:space="preserve">ZAW2 20 cm x 90 cm Rect Alder Wood Walnut 1a Cal 172 M2 CAJA</t>
  </si>
  <si>
    <t xml:space="preserve">ZK071836C1P7</t>
  </si>
  <si>
    <t xml:space="preserve">ZK07 45 cm x 90 cm Kalos Gris 1a Cal 1.62M2</t>
  </si>
  <si>
    <t xml:space="preserve">ZAR31836C1P7</t>
  </si>
  <si>
    <t xml:space="preserve">ZAR3 45 cm x 90 cm Artesa Gris 1a. Cal 1.62M2</t>
  </si>
  <si>
    <t xml:space="preserve">G1032424RC1P7</t>
  </si>
  <si>
    <t xml:space="preserve">G103 60 cm x 60 cm Rect. Trend Dark Gray 1a. Cal. 1.8M2</t>
  </si>
  <si>
    <t xml:space="preserve">GSS22424C1P7</t>
  </si>
  <si>
    <t xml:space="preserve">GSS2 60.5CM X 60.5CM Sandstone Gray 1a cal 1.82M2</t>
  </si>
  <si>
    <t xml:space="preserve">GFT21836RC1P7</t>
  </si>
  <si>
    <t xml:space="preserve">GFT2 45 cm x 90 cm Rect. Finisterra Gray 1a. Cal 1.6M2</t>
  </si>
  <si>
    <t xml:space="preserve">ZXN11060R1P7</t>
  </si>
  <si>
    <t xml:space="preserve">ZXN1 25 cm x 153 cm Rect. Xenia Greige 1a. Cal. 1.16M2</t>
  </si>
  <si>
    <t xml:space="preserve">EM02836D1P7</t>
  </si>
  <si>
    <t xml:space="preserve">EM02 20 cm x 90 cm Emblem Brown 1a. Cal 1.81m2</t>
  </si>
  <si>
    <t xml:space="preserve">EM01836D1P7</t>
  </si>
  <si>
    <t xml:space="preserve">EM01 20 cm x 90 cm Emblem Beige 1a. Cal 1.81m2</t>
  </si>
  <si>
    <t xml:space="preserve">GC511320L1P2</t>
  </si>
  <si>
    <t xml:space="preserve">GC51 34 cm x 50 cm ClassicoMulticolor 1a. Cal 1.2M2</t>
  </si>
  <si>
    <t xml:space="preserve">ZMR52448PR1P7</t>
  </si>
  <si>
    <t xml:space="preserve">ZMR5 59x118cm Rect. Marmi Cream. 1a. Cal 1.37M2</t>
  </si>
  <si>
    <t xml:space="preserve">ZUR41218C1P7</t>
  </si>
  <si>
    <t xml:space="preserve">ZUR4 30cm x 45cm Urbania Cobalt Blue 1a. Cal 1.36M2</t>
  </si>
  <si>
    <t xml:space="preserve">ZA611836RC1P7</t>
  </si>
  <si>
    <t xml:space="preserve">ZA61 45 cm x 90 cm. Rect. Aurora Bianco 1a. Cal 1.6M2</t>
  </si>
  <si>
    <t xml:space="preserve">ZC321224R1P7</t>
  </si>
  <si>
    <t xml:space="preserve">ZC32 30x60 Corso Dark Gray Rect. 1a. Cal. 1.26 M2 CAJA</t>
  </si>
  <si>
    <t xml:space="preserve">EM02836B1P7</t>
  </si>
  <si>
    <t xml:space="preserve">EM02 20x90 Emblem Brown 1a. Cal 1.45M2</t>
  </si>
  <si>
    <t xml:space="preserve">GSZ11836RC1P7</t>
  </si>
  <si>
    <t xml:space="preserve">GSZ1 45 cm x 90 cm Rect. Spazio Crema 1a. Cal 1.6M2</t>
  </si>
  <si>
    <t xml:space="preserve">ZKA132641PU</t>
  </si>
  <si>
    <t xml:space="preserve">ZKA1 80x160 Katania Ivory 1a. Cal. 1.28M2</t>
  </si>
  <si>
    <t xml:space="preserve">ZXN41060R1P7</t>
  </si>
  <si>
    <t xml:space="preserve">ZXN4 25 cm x 153 cm Rect. Xenia Café 1a Cal. 1.16M2</t>
  </si>
  <si>
    <t xml:space="preserve">ZGJ318181P2</t>
  </si>
  <si>
    <t xml:space="preserve">ZGJ3 45x45 Bengal SlateMulticolor 1a Cal 1.63M2</t>
  </si>
  <si>
    <t xml:space="preserve">ZAM51836RC1P7</t>
  </si>
  <si>
    <t xml:space="preserve">ZAM5 45 cm x 90 cm Rect. Atempo Marfil 1a Cal 1.6M2</t>
  </si>
  <si>
    <t xml:space="preserve">ZAM215151P7</t>
  </si>
  <si>
    <t xml:space="preserve">ZAM2 37cm x 37 cm Amely Blanco 1a Cal 2.11M2</t>
  </si>
  <si>
    <t xml:space="preserve">ZS362424C1P7</t>
  </si>
  <si>
    <t xml:space="preserve">ZS36 60.5 cm x 60.5 cm Stratto Light Gray 1a. Cal 1.83 M2</t>
  </si>
  <si>
    <t xml:space="preserve">GA112448R1P7</t>
  </si>
  <si>
    <t xml:space="preserve">GA11 60x120 Ardesia Dark Gray Rectificado 1a Cal 1.44M2</t>
  </si>
  <si>
    <t xml:space="preserve">ZDM2720B1P2</t>
  </si>
  <si>
    <t xml:space="preserve">ZDM2 18X50 Sunwood Miel1a. Cal 1.08M2</t>
  </si>
  <si>
    <t xml:space="preserve">GDI12424RC1P7</t>
  </si>
  <si>
    <t xml:space="preserve">GDI1 60 cm x 60 cm Rect District Gray 1a Cal 1.8M2</t>
  </si>
  <si>
    <t xml:space="preserve">GFT11836RC1P7LOT</t>
  </si>
  <si>
    <t xml:space="preserve">GFT1 45 cm x 90 cm Rect. Finisterra White 1a. Cal 1.6M2</t>
  </si>
  <si>
    <t xml:space="preserve">ZMK132641PD</t>
  </si>
  <si>
    <t xml:space="preserve">ZMK1 80x160 cm Rect.Makia White 1a. Cal. 2.56M2</t>
  </si>
  <si>
    <t xml:space="preserve">GSZ11836RB1P7</t>
  </si>
  <si>
    <t xml:space="preserve">GSZ1 45x90 Spazio Crema Rectificado 1a. Cal 1.2M2</t>
  </si>
  <si>
    <t xml:space="preserve">GGS124481PD</t>
  </si>
  <si>
    <t xml:space="preserve">GGS1 60 cm X 120 cm Rect. Galastone Turquoise1a. Cal 1.44M2</t>
  </si>
  <si>
    <t xml:space="preserve">ZT0315151P7</t>
  </si>
  <si>
    <t xml:space="preserve">ZT03 37x37 cm Teul Beige 1a. Cal 2.11M2</t>
  </si>
  <si>
    <t xml:space="preserve">GNT118181P7</t>
  </si>
  <si>
    <t xml:space="preserve">GNT1 45x45 North Stone Brown 1a. Cal 1.63M2</t>
  </si>
  <si>
    <t xml:space="preserve">EM03836B1P7</t>
  </si>
  <si>
    <t xml:space="preserve">EM03 20x90 Emblem Grey 1a. Cal 1.45M2</t>
  </si>
  <si>
    <t xml:space="preserve">GC501320L1P2</t>
  </si>
  <si>
    <t xml:space="preserve">GC50 34 cm x 50 cm ClassicoCobalto 1a. Cal 1.2M2</t>
  </si>
  <si>
    <t xml:space="preserve">ZPV52448PR1P7</t>
  </si>
  <si>
    <t xml:space="preserve">ZPV5 59x118cm Rect. Pietra Di Vals Light Gray 1a. Cal 1.37M2</t>
  </si>
  <si>
    <t xml:space="preserve">ZKA332641PU</t>
  </si>
  <si>
    <t xml:space="preserve">ZKA3 80x160 Katania Dark Gray 1a. Cal. 1.28M2</t>
  </si>
  <si>
    <t xml:space="preserve">ZBA3720B1P2</t>
  </si>
  <si>
    <t xml:space="preserve">ZBA3 18 cm x 50 cm Baeza Tabaco 1a. Cal 1.08M2</t>
  </si>
  <si>
    <t xml:space="preserve">GZF215151P7</t>
  </si>
  <si>
    <t xml:space="preserve">GZF2 37x37cm Lake Gris 1a. Cal 2.11M2</t>
  </si>
  <si>
    <t xml:space="preserve">ZDM3720B1P2</t>
  </si>
  <si>
    <t xml:space="preserve">ZDM3 18X50 Black WalnutNatural 1a. Cal 1.08M2</t>
  </si>
  <si>
    <t xml:space="preserve">ZXN31060R1P7</t>
  </si>
  <si>
    <t xml:space="preserve">ZXN3 25 cm x 153 cm Rect. Xenia Natural 1a. Cal. 1.16M2</t>
  </si>
  <si>
    <t xml:space="preserve">GZF218181P7</t>
  </si>
  <si>
    <t xml:space="preserve">GZF21 45x45 Lake Gris 1a. Cal 1.63M2</t>
  </si>
  <si>
    <t xml:space="preserve">GPF12424RC1P7</t>
  </si>
  <si>
    <t xml:space="preserve">GPF1 60X60CM Rect. Pietra Francesa Light Grey 1a. Cal 1.8M2</t>
  </si>
  <si>
    <t xml:space="preserve">ZDM4720B1P2</t>
  </si>
  <si>
    <t xml:space="preserve">ZDM4 18X50 Black Walnut Moka 1a. Cal 1.08M2</t>
  </si>
  <si>
    <t xml:space="preserve">EM01720B1P2</t>
  </si>
  <si>
    <t xml:space="preserve">EM01 18X50 Emblem Beige 1a. Cal 1.08M2</t>
  </si>
  <si>
    <t xml:space="preserve">GHW1720B1P2</t>
  </si>
  <si>
    <t xml:space="preserve">GHW1 18x50 Homewood Gray 1a. Cal 1.08M2</t>
  </si>
  <si>
    <t xml:space="preserve">ZPV62448PR1P7</t>
  </si>
  <si>
    <t xml:space="preserve">ZPV6 59x118cm Rect. Pietra Di Vals Dark Gray 1a. Cal 1.37M2</t>
  </si>
  <si>
    <t xml:space="preserve">ZCG532641PD</t>
  </si>
  <si>
    <t xml:space="preserve">ZCG5 80x160 cm. Rect. Carrara Gold White 1a. Cal. 2.56M2</t>
  </si>
  <si>
    <t xml:space="preserve">GZF118181P7</t>
  </si>
  <si>
    <t xml:space="preserve">GZF11 45X45 Lake Beige 1a. Cal 1.63M2</t>
  </si>
  <si>
    <t xml:space="preserve">ZCV615151P7</t>
  </si>
  <si>
    <t xml:space="preserve">ZCV6 37x37cm Canova Castano 1a. Cal 2.11M2</t>
  </si>
  <si>
    <t xml:space="preserve">ZUR51218C1P7</t>
  </si>
  <si>
    <t xml:space="preserve">ZUR5 30cm x 45cm Urbania Black &amp; White 1a. Cal 1.36M2</t>
  </si>
  <si>
    <t xml:space="preserve">GON12448R1P7</t>
  </si>
  <si>
    <t xml:space="preserve">GON1 60x120 Origin Black Rectificado 1a. Cal 1.44M2</t>
  </si>
  <si>
    <t xml:space="preserve">PL021218C1P7</t>
  </si>
  <si>
    <t xml:space="preserve">PL02 30x45 Polaris Blanco 1a. Cal 1.50M2</t>
  </si>
  <si>
    <t xml:space="preserve">ZT0715151P7</t>
  </si>
  <si>
    <t xml:space="preserve">ZT07 37x37 cm Tonala Cafe 1a. Cal 2.11M2</t>
  </si>
  <si>
    <t xml:space="preserve">EM02720B1P2</t>
  </si>
  <si>
    <t xml:space="preserve">EM02 18x50 Emblem Brown1a. Cal 1.08M2</t>
  </si>
  <si>
    <t xml:space="preserve">ZZT22424RC1P7</t>
  </si>
  <si>
    <t xml:space="preserve">ZZT2 60 cm x 60 cm Rect. Zermatt White 1a. Cal 1.8M2</t>
  </si>
  <si>
    <t xml:space="preserve">ZUR21218C1P7</t>
  </si>
  <si>
    <t xml:space="preserve">ZUR2 30cm x 45cm Urbania Blue 1a. Cal 1.36M2</t>
  </si>
  <si>
    <t xml:space="preserve">ZSC31836RC1P7</t>
  </si>
  <si>
    <t xml:space="preserve">ZSC3 45x90 cm. Rect. Stone Cave Black 1a. Cal 1.6M2</t>
  </si>
  <si>
    <t xml:space="preserve">ZGX518181P7</t>
  </si>
  <si>
    <t xml:space="preserve">ZGX5 45x45cm Geox Cafe 1a. Cal 1.63M2</t>
  </si>
  <si>
    <t xml:space="preserve">ZA612448R1P7</t>
  </si>
  <si>
    <t xml:space="preserve">ZA61 60x120 Aurora Bianco Rect. 1a Cal 1.44M2</t>
  </si>
  <si>
    <t xml:space="preserve">GZF115151P7</t>
  </si>
  <si>
    <t xml:space="preserve">GZF1 37x37cm Lake Beige 1a. Cal 2.11M2</t>
  </si>
  <si>
    <t xml:space="preserve">GME118181P7</t>
  </si>
  <si>
    <t xml:space="preserve">GME1 45x45 Merida Multicolor 1a. Cal 1.63M2</t>
  </si>
  <si>
    <t xml:space="preserve">ZKL815151P7</t>
  </si>
  <si>
    <t xml:space="preserve">ZKL8 37 cm x 37 cm Kalei Dot Black 1a. Cal 2.11M2</t>
  </si>
  <si>
    <t xml:space="preserve">EM027201P2</t>
  </si>
  <si>
    <t xml:space="preserve">EM02 18 cm x 50 cm Emblem Brown 1a.Cal 0.99M2</t>
  </si>
  <si>
    <t xml:space="preserve">ZAV42424RC1P7</t>
  </si>
  <si>
    <t xml:space="preserve">ZAV4 60cm x 60cm Rect. Avenza Blanco Brillante 1a Cal. 1.8M2</t>
  </si>
  <si>
    <t xml:space="preserve">ZH182424B1PJ</t>
  </si>
  <si>
    <t xml:space="preserve">ZH18 60 cm x 60 cm Bellagio Crema Super Gloss 1a Cal. 1.44m2</t>
  </si>
  <si>
    <t xml:space="preserve">ZAL9720HD1P2</t>
  </si>
  <si>
    <t xml:space="preserve">ZAL9 18X50 Alondra Café 1a.Cal 0.99M2</t>
  </si>
  <si>
    <t xml:space="preserve">ZS372424C1P7</t>
  </si>
  <si>
    <t xml:space="preserve">ZS37 60.5 cm x 60.5 cm Stratto Gray 1a. Cal. 1.83 M2</t>
  </si>
  <si>
    <t xml:space="preserve">ZM7532641PU</t>
  </si>
  <si>
    <t xml:space="preserve">ZM75 80cm x 160cm Manaos Deep Gray 1a. Cal 1.28M2</t>
  </si>
  <si>
    <t xml:space="preserve">EM03836D1P7</t>
  </si>
  <si>
    <t xml:space="preserve">EM03 20 cm x 90 cm Emblem Grey 1a. Cal 1.81m2</t>
  </si>
  <si>
    <t xml:space="preserve">Vitromex </t>
  </si>
  <si>
    <t xml:space="preserve">PISO MONET ABEDUL 18X60.6 CM 1.64 M2/CAJA</t>
  </si>
  <si>
    <t xml:space="preserve">GSS22424RC1P7</t>
  </si>
  <si>
    <t xml:space="preserve">GSS2 60 cm x 60 cm Rect. Sandstone Gray 1a Cal 1.8m2</t>
  </si>
  <si>
    <t xml:space="preserve">ZA8132641PU</t>
  </si>
  <si>
    <t xml:space="preserve">ZA81 80x160 Andria Marfil 1a. Cal. 1.28M2</t>
  </si>
  <si>
    <t xml:space="preserve">PAQBAÑODICABCO</t>
  </si>
  <si>
    <t xml:space="preserve">TAZA REDONDA ECONOMICA DICA 4203</t>
  </si>
  <si>
    <t xml:space="preserve">TANQUE ECOLOGICO DICA</t>
  </si>
  <si>
    <t xml:space="preserve">LAVABO COSMOS 4" BLANCO</t>
  </si>
  <si>
    <t xml:space="preserve">PEDESTAL COSMOS BLANCO</t>
  </si>
  <si>
    <t xml:space="preserve">PAQCORZOBCO1</t>
  </si>
  <si>
    <t xml:space="preserve">TAZA MONET AL STAR BLANCO</t>
  </si>
  <si>
    <t xml:space="preserve">LAVABO TRIA 4 STAR BLANCO</t>
  </si>
  <si>
    <t xml:space="preserve">PEDESTAL AUSTRIA BLANCO</t>
  </si>
  <si>
    <t xml:space="preserve">PAQARONABCO</t>
  </si>
  <si>
    <t xml:space="preserve">TQ1101A021</t>
  </si>
  <si>
    <t xml:space="preserve">Tanque Arona Ecologico 4.8 L (Blanco)</t>
  </si>
  <si>
    <t xml:space="preserve">TZ2102A021</t>
  </si>
  <si>
    <t xml:space="preserve">Taza ARONA Alargada (Blanco)</t>
  </si>
  <si>
    <t xml:space="preserve">PAQEMEZBCO</t>
  </si>
  <si>
    <t xml:space="preserve">TAZA NAVIA STAR BLANCO GRADO B URREA</t>
  </si>
  <si>
    <t xml:space="preserve">LAVABO 2501 4" BLANCO</t>
  </si>
  <si>
    <t xml:space="preserve">MEZCLADORA ECOLÓGICA PARA LAVABO</t>
  </si>
  <si>
    <t xml:space="preserve">PAQCREELBCO1</t>
  </si>
  <si>
    <t xml:space="preserve">TQ1032A021</t>
  </si>
  <si>
    <t xml:space="preserve">TANQUE CREEL</t>
  </si>
  <si>
    <t xml:space="preserve">PAQALHSO</t>
  </si>
  <si>
    <t xml:space="preserve">TANQUE ANDROMEDA GS 4.8 AL HUESO</t>
  </si>
  <si>
    <t xml:space="preserve">LAVABO TRIA 4 STAR HUESO URREA</t>
  </si>
  <si>
    <t xml:space="preserve">PAQALANDROBCO</t>
  </si>
  <si>
    <t xml:space="preserve">Pedestal Autria blanco</t>
  </si>
  <si>
    <t xml:space="preserve">PAQEBCO</t>
  </si>
  <si>
    <t xml:space="preserve">TANQUE FENIX RD BLANCO</t>
  </si>
  <si>
    <t xml:space="preserve">LAVABO STRELLA 4" BLANCO</t>
  </si>
  <si>
    <t xml:space="preserve">Tecnopiso</t>
  </si>
  <si>
    <t xml:space="preserve">Pisos Tecnopiso</t>
  </si>
  <si>
    <t xml:space="preserve">PT612CANNBL1A</t>
  </si>
  <si>
    <t xml:space="preserve">PISO CANNES BLACK BR 60X120CM 1.44M2</t>
  </si>
  <si>
    <t xml:space="preserve">CAJA</t>
  </si>
  <si>
    <t xml:space="preserve">PT612CANNWH1A</t>
  </si>
  <si>
    <t xml:space="preserve">PISO CANNES WHITE BR 60X120CM 1.44M2</t>
  </si>
  <si>
    <t xml:space="preserve">PT612CORAL1A</t>
  </si>
  <si>
    <t xml:space="preserve">PISO CORAL BR 60X120CM 1.44M2</t>
  </si>
  <si>
    <t xml:space="preserve">PT612EMPEBR1A</t>
  </si>
  <si>
    <t xml:space="preserve">PISO EMPERADOR BRONCE BR 60X120CM 1.44M2</t>
  </si>
  <si>
    <t xml:space="preserve">PT612EMPEPL1A</t>
  </si>
  <si>
    <t xml:space="preserve">PISO EMPERADOR PLATA BR 60X120CM 1.44M2</t>
  </si>
  <si>
    <t xml:space="preserve">PT612EMPETI1A</t>
  </si>
  <si>
    <t xml:space="preserve">PISO EMPERADOR TITANIO BR 60X120CM 1.44M2</t>
  </si>
  <si>
    <t xml:space="preserve">PT612GLACIA1A</t>
  </si>
  <si>
    <t xml:space="preserve">PISO GLACIAR MT 60x120CM 1.44M2</t>
  </si>
  <si>
    <t xml:space="preserve">PT612SANTOT1A</t>
  </si>
  <si>
    <t xml:space="preserve">PISO SANTO MT TOMAS 60X120CM 1.44M2</t>
  </si>
  <si>
    <t xml:space="preserve">PT612ARTIC1A</t>
  </si>
  <si>
    <t xml:space="preserve">PISO ARTIC BR 60X120CM 1.44M2</t>
  </si>
  <si>
    <t xml:space="preserve">PT33KOBUBE1B</t>
  </si>
  <si>
    <t xml:space="preserve">PISO KOBUK BEIGE 33X33 1.63 M2 ANTIDERRAPANTE</t>
  </si>
  <si>
    <t xml:space="preserve">PT33KOBUGR1B</t>
  </si>
  <si>
    <t xml:space="preserve">PISO KOBUK GRIS 33X33 1.63 M2 ANTIDERRAPANTE</t>
  </si>
  <si>
    <t xml:space="preserve">PT33KOBUCA1B</t>
  </si>
  <si>
    <t xml:space="preserve">PISO KOBUK CAFE 33X33 1.63 M2 ANTIDERRAPANTE</t>
  </si>
  <si>
    <t xml:space="preserve">PT36AREZBL1A</t>
  </si>
  <si>
    <t xml:space="preserve">PISO AREZZO BLANCO 30X60 1.62 M2</t>
  </si>
  <si>
    <t xml:space="preserve">PT36AREZGR1A</t>
  </si>
  <si>
    <t xml:space="preserve">PISO AREZZO GRIS 30X60 1.62M2</t>
  </si>
  <si>
    <t xml:space="preserve">PT36PARISGR1A</t>
  </si>
  <si>
    <t xml:space="preserve">FACHALETA RUSTICO PARIS BEIGE 30X60 CM 1.62 M2</t>
  </si>
  <si>
    <t xml:space="preserve">PT36PRISBE1C</t>
  </si>
  <si>
    <t xml:space="preserve">PISO PRISMA BEIGE 30X60CM 1.62M2/CAJA</t>
  </si>
  <si>
    <t xml:space="preserve">PRIGR60</t>
  </si>
  <si>
    <t xml:space="preserve">PISO CERAMICO PRISMA GRIS 60X60 1.44M</t>
  </si>
  <si>
    <t xml:space="preserve">PRIBLC60</t>
  </si>
  <si>
    <t xml:space="preserve">PISO CERAMICO PRISMA BEIGE 60X60 1.44 M</t>
  </si>
  <si>
    <t xml:space="preserve">PRINE60</t>
  </si>
  <si>
    <t xml:space="preserve">PISO CERAMICO PRISMA NEGRO 60X60 1.44M</t>
  </si>
  <si>
    <t xml:space="preserve">PT60QUARNE1A</t>
  </si>
  <si>
    <t xml:space="preserve">PISO CERAMICO QUARTZ NEGRO 60X60 CM. 1.44 M2 CAJA</t>
  </si>
  <si>
    <t xml:space="preserve">PT60ARCEAZ1A</t>
  </si>
  <si>
    <t xml:space="preserve">PISO CERAMICO ARCE AZUL 60X60 CM. 1.44 M2 CAJA</t>
  </si>
  <si>
    <t xml:space="preserve">PT60ARCECA1A</t>
  </si>
  <si>
    <t xml:space="preserve">PISO CERAMICO ARCE CAFE 60X60 1.44 M2</t>
  </si>
  <si>
    <t xml:space="preserve">PT36GREYTE1A</t>
  </si>
  <si>
    <t xml:space="preserve">PISO GREYTECH 30X60 CM 1.62M2/ CAJA</t>
  </si>
  <si>
    <t xml:space="preserve">PT36PRISNE1C</t>
  </si>
  <si>
    <t xml:space="preserve">PRISMA NEGRO 30X60CM 1.62M2</t>
  </si>
  <si>
    <t xml:space="preserve">PRIGR30X60</t>
  </si>
  <si>
    <t xml:space="preserve">PISO CERAMICO PRISMA GRIS 30X60 1.62M2</t>
  </si>
  <si>
    <t xml:space="preserve">PT36PARIGR1A</t>
  </si>
  <si>
    <t xml:space="preserve">FACHALETA PARIS GRIS 30X60CM 1.62M2 CAJA</t>
  </si>
  <si>
    <t xml:space="preserve">PT60PRISGR2B</t>
  </si>
  <si>
    <t xml:space="preserve">PISO PRISMA GRIS 60X60 1.44M2 C.C.</t>
  </si>
  <si>
    <t xml:space="preserve">PT60PRISRO2C</t>
  </si>
  <si>
    <t xml:space="preserve">PISO PRISMA ROSATTO 60X60 1.44M2 C.C.</t>
  </si>
  <si>
    <t xml:space="preserve">PT36AREZBL2A</t>
  </si>
  <si>
    <t xml:space="preserve">PISO AREZZO BLANCO 30X60 1.62 M2 CALIDAD COMERCIAL</t>
  </si>
  <si>
    <t xml:space="preserve">PT36AREZGR2A</t>
  </si>
  <si>
    <t xml:space="preserve">PISOS AREZZO GRIS 30X60 1.62M2 CALIDAD COMERCIAL</t>
  </si>
  <si>
    <t xml:space="preserve">PT36CONCRE2A</t>
  </si>
  <si>
    <t xml:space="preserve">PISO CERAMICO CONCRETE GRIS CALIDAD COMERCIAL 30X60 1.62 M2</t>
  </si>
  <si>
    <t xml:space="preserve">PT50LOREBL2A</t>
  </si>
  <si>
    <t xml:space="preserve">LORETO BLANCO 50X50 1.75 C. COMERCIAL</t>
  </si>
  <si>
    <t xml:space="preserve">PT50LOREGR2A</t>
  </si>
  <si>
    <t xml:space="preserve">PISO LORETO GRIS 1.75M2 CALIDAD COMERCIAL</t>
  </si>
  <si>
    <t xml:space="preserve">RT595HITABL2A</t>
  </si>
  <si>
    <t xml:space="preserve">PISOS HITA BLANCO 1.42M2 CALIDAD COMERCIAL</t>
  </si>
  <si>
    <t xml:space="preserve">PT60PRISRO1B</t>
  </si>
  <si>
    <t xml:space="preserve">PISO PRISMA ROSATTO 60X60 1.44M2/CAJA</t>
  </si>
  <si>
    <t xml:space="preserve">PN60QC1E</t>
  </si>
  <si>
    <t xml:space="preserve">PISO CERAMICO MOD QUARTZ CAFE 60X60 1.44 M2 CAJA</t>
  </si>
  <si>
    <t xml:space="preserve">Descontinuado Proveedor</t>
  </si>
  <si>
    <t xml:space="preserve">CAS10024507</t>
  </si>
  <si>
    <t xml:space="preserve">BURGOS 66 GREY 60X60 5 PZS 1.80M2</t>
  </si>
  <si>
    <t xml:space="preserve">CAS10024506</t>
  </si>
  <si>
    <t xml:space="preserve">BURGOS 66 IVORY 60X60 5 PZS 1.80M2</t>
  </si>
  <si>
    <t xml:space="preserve">CAS94019</t>
  </si>
  <si>
    <t xml:space="preserve">PISO YUNN 32 PERLA 30X120 1.76M2</t>
  </si>
  <si>
    <t xml:space="preserve">CAS19</t>
  </si>
  <si>
    <t xml:space="preserve">PISO PORCELANICO REC TOSCANA 80X80 1.92M2 CAJA</t>
  </si>
  <si>
    <t xml:space="preserve">MCBENNO</t>
  </si>
  <si>
    <t xml:space="preserve">MUEBLE CABINET BENNO</t>
  </si>
  <si>
    <t xml:space="preserve">Hasta agotar existencias, no valido sobrepedido</t>
  </si>
  <si>
    <t xml:space="preserve">MCARNO</t>
  </si>
  <si>
    <t xml:space="preserve">MUEBLE CABINET ARNO</t>
  </si>
  <si>
    <t xml:space="preserve">Solo para material en exhibicion </t>
  </si>
  <si>
    <t xml:space="preserve">QD001</t>
  </si>
  <si>
    <t xml:space="preserve">ESPEJO NARON 60 CM RED LED</t>
  </si>
  <si>
    <t xml:space="preserve">QD002</t>
  </si>
  <si>
    <t xml:space="preserve">ESPEJO TUY 60 CM RED NEGRO BT LED</t>
  </si>
  <si>
    <t xml:space="preserve">QD004</t>
  </si>
  <si>
    <t xml:space="preserve">ESPEJO FERROL 60X90 CM LED</t>
  </si>
  <si>
    <t xml:space="preserve">QD005</t>
  </si>
  <si>
    <t xml:space="preserve">ESPEJO LUGO 60 CM RED LED</t>
  </si>
  <si>
    <t xml:space="preserve">CAS94011</t>
  </si>
  <si>
    <t xml:space="preserve">PISO RECT NORUEGA 22 HAYA 20X120 1.83M2</t>
  </si>
  <si>
    <t xml:space="preserve">Calorex</t>
  </si>
  <si>
    <t xml:space="preserve">Calentadores</t>
  </si>
  <si>
    <t xml:space="preserve">Calentadores Calorex</t>
  </si>
  <si>
    <t xml:space="preserve">OPTIMUS DE PASO ODP-06 LP</t>
  </si>
  <si>
    <t xml:space="preserve">OPTIMUS ODP-09 GAS LP</t>
  </si>
  <si>
    <t xml:space="preserve">CINSA ELECTRICO CIE-10 220V 4.0KW</t>
  </si>
  <si>
    <t xml:space="preserve">CALENTADOR OPTIMUS INSTANTANEO 01-05 E LP</t>
  </si>
  <si>
    <t xml:space="preserve">CINSA INSTANTANEO CIN-13 B LP</t>
  </si>
  <si>
    <t xml:space="preserve">CAS100208</t>
  </si>
  <si>
    <t xml:space="preserve">PISO TOSCANA 120 PLUS BCO 60X120 1.44M2</t>
  </si>
  <si>
    <t xml:space="preserve">MCCUARZO </t>
  </si>
  <si>
    <t xml:space="preserve">MUEBLE CABINET CUARZO </t>
  </si>
  <si>
    <t xml:space="preserve">MCPIROXENO </t>
  </si>
  <si>
    <t xml:space="preserve">MUEBLE CABINET PIROXENO CON ESPEJO LED </t>
  </si>
  <si>
    <t xml:space="preserve">MCAMBAR </t>
  </si>
  <si>
    <t xml:space="preserve">MUEBLE CABINET AMBAR </t>
  </si>
  <si>
    <t xml:space="preserve">MCTESEO </t>
  </si>
  <si>
    <t xml:space="preserve">MUEBLE CABINET TESEO</t>
  </si>
  <si>
    <t xml:space="preserve">PISO AIZEN GRIS 50X100 CM 1.5 M2/CAJA RECT</t>
  </si>
  <si>
    <t xml:space="preserve">PISO LIVING BEIGE 50X100 CM 2.0 M2/CAJA RECT</t>
  </si>
  <si>
    <t xml:space="preserve">One Piece</t>
  </si>
  <si>
    <t xml:space="preserve">75.7566.23</t>
  </si>
  <si>
    <t xml:space="preserve">Sanitario One Piece OVALE E</t>
  </si>
  <si>
    <t xml:space="preserve">PISO TORONTO GREY  60X120 CAJA 1.44M2</t>
  </si>
  <si>
    <t xml:space="preserve">PISO PORCELANICO VITRIFICADO DIAMOND CARRARA 60X60 1.44 M2</t>
  </si>
  <si>
    <t xml:space="preserve">47x47</t>
  </si>
  <si>
    <t xml:space="preserve">FRESNO 26 CHERRY 22.5X60  14PZ   1.89M2</t>
  </si>
  <si>
    <t xml:space="preserve">22.5x60</t>
  </si>
  <si>
    <t xml:space="preserve">EVOKE 62 BLACK 60X120 2 PZ  1.42 M2</t>
  </si>
  <si>
    <t xml:space="preserve">PISO GEO 66 IVORY 60X60  1.80M2</t>
  </si>
  <si>
    <t xml:space="preserve">DOLOMITTI 66 BLACK 60X60  5PZ  1.80M2</t>
  </si>
  <si>
    <t xml:space="preserve">PISO AMAZONAS CHERRY 22.5X60 1.89M2</t>
  </si>
  <si>
    <t xml:space="preserve">PISO FRESNO 26 NUEZ 22.5X60  14PZ   1.89M2</t>
  </si>
  <si>
    <t xml:space="preserve">FRESNO 26 GRIS 22.5X60 14PZ  1.89M2</t>
  </si>
  <si>
    <t xml:space="preserve">PISO AMAZONAS HONEY 22.5X60 1.89M2</t>
  </si>
  <si>
    <t xml:space="preserve">30x120</t>
  </si>
  <si>
    <t xml:space="preserve"> PISO GINZA 62 PEARL  60X120 2 PZ  1.42 M2</t>
  </si>
  <si>
    <t xml:space="preserve">58x58</t>
  </si>
  <si>
    <t xml:space="preserve">74x74</t>
  </si>
  <si>
    <t xml:space="preserve">NEPTUNE STATUARIO PL 60X120 1.44 M2</t>
  </si>
  <si>
    <t xml:space="preserve">CARRARA WHITE 120X240 2.88M2</t>
  </si>
  <si>
    <t xml:space="preserve">120x240</t>
  </si>
  <si>
    <t xml:space="preserve">75x150</t>
  </si>
  <si>
    <t xml:space="preserve">COTTI GREY MATT 60 X 120 CM 5MM 2.88 M2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</si>
</sst>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\$* #,##0.00_);_(\$* \(#,##0.00\);_(\$* \-#??_)"/>
    <numFmt numFmtId="166" formatCode="#0.00%"/>
    <numFmt numFmtId="167" formatCode="#0"/>
    <numFmt numFmtId="168" formatCode="\$#,##0.00"/>
    <numFmt numFmtId="169" formatCode="_-\$* #,##0.00_-;&quot;-$&quot;* #,##0.00_-;_-\$* \-#??_-"/>
    <numFmt numFmtId="170" formatCode="#0.0000%"/>
    <numFmt numFmtId="171" formatCode="@"/>
    <numFmt numFmtId="172" formatCode="_(\$* #,##0.00_);_(\$* \(#,##0.00\);_(\$* \-#??_);_(@_)"/>
    <numFmt numFmtId="173" formatCode="#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S2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" zeroHeight="false" outlineLevelRow="0" outlineLevelCol="0"/>
  <cols>
    <col collapsed="false" customWidth="true" hidden="false" outlineLevel="0" max="1" min="1" style="1" width="14.44"/>
    <col collapsed="false" customWidth="true" hidden="false" outlineLevel="0" max="2" min="2" style="1" width="11.52"/>
    <col collapsed="false" customWidth="true" hidden="false" outlineLevel="0" max="3" min="3" style="1" width="12.71"/>
    <col collapsed="false" customWidth="true" hidden="false" outlineLevel="0" max="4" min="4" style="1" width="16.56"/>
    <col collapsed="false" customWidth="true" hidden="false" outlineLevel="0" max="5" min="5" style="1" width="20.27"/>
    <col collapsed="false" customWidth="true" hidden="false" outlineLevel="0" max="6" min="6" style="1" width="62.4"/>
    <col collapsed="false" customWidth="true" hidden="false" outlineLevel="0" max="7" min="7" style="1" width="9"/>
    <col collapsed="false" customWidth="true" hidden="false" outlineLevel="0" max="9" min="8" style="1" width="8.87"/>
    <col collapsed="false" customWidth="true" hidden="false" outlineLevel="0" max="10" min="10" style="1" width="13.64"/>
    <col collapsed="false" customWidth="true" hidden="false" outlineLevel="0" max="11" min="11" style="1" width="13.24"/>
    <col collapsed="false" customWidth="true" hidden="false" outlineLevel="0" max="12" min="12" style="1" width="8.87"/>
    <col collapsed="false" customWidth="true" hidden="false" outlineLevel="0" max="13" min="13" style="1" width="13.64"/>
    <col collapsed="false" customWidth="true" hidden="false" outlineLevel="0" max="14" min="14" style="1" width="18.41"/>
    <col collapsed="false" customWidth="true" hidden="false" outlineLevel="0" max="15" min="15" style="2" width="13.38"/>
    <col collapsed="false" customWidth="true" hidden="false" outlineLevel="0" max="16" min="16" style="2" width="8.87"/>
    <col collapsed="false" customWidth="true" hidden="false" outlineLevel="0" max="17" min="17" style="3" width="8.87"/>
    <col collapsed="false" customWidth="true" hidden="false" outlineLevel="0" max="18" min="18" style="2" width="12.71"/>
    <col collapsed="false" customWidth="true" hidden="false" outlineLevel="0" max="19" min="19" style="2" width="18.28"/>
    <col collapsed="false" customWidth="true" hidden="false" outlineLevel="0" max="2048" min="20" style="1" width="8.87"/>
  </cols>
  <sheetData>
    <row r="1" s="8" customFormat="true" ht="91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</row>
    <row r="2" customFormat="false" ht="14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9" t="n">
        <v>520256440010061</v>
      </c>
      <c r="F2" s="1" t="s">
        <v>23</v>
      </c>
      <c r="G2" s="1" t="s">
        <v>24</v>
      </c>
      <c r="H2" s="1" t="n">
        <v>2.11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2" t="n">
        <v>309</v>
      </c>
      <c r="P2" s="2" t="n">
        <f aca="false">O2/H2</f>
        <v>146.445497630332</v>
      </c>
      <c r="Q2" s="3" t="n">
        <f aca="false">(R2/P2-1)*-1</f>
        <v>0.187411003236246</v>
      </c>
      <c r="R2" s="2" t="n">
        <v>119</v>
      </c>
      <c r="S2" s="2" t="n">
        <v>0</v>
      </c>
    </row>
    <row r="3" customFormat="false" ht="14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0" t="n">
        <v>520256440011061</v>
      </c>
      <c r="F3" s="1" t="s">
        <v>31</v>
      </c>
      <c r="G3" s="1" t="s">
        <v>24</v>
      </c>
      <c r="H3" s="1" t="n">
        <v>2.11</v>
      </c>
      <c r="I3" s="1" t="s">
        <v>25</v>
      </c>
      <c r="J3" s="1" t="s">
        <v>26</v>
      </c>
      <c r="K3" s="1" t="s">
        <v>27</v>
      </c>
      <c r="L3" s="1" t="s">
        <v>32</v>
      </c>
      <c r="M3" s="1" t="s">
        <v>29</v>
      </c>
      <c r="N3" s="1" t="s">
        <v>30</v>
      </c>
      <c r="O3" s="2" t="n">
        <v>309</v>
      </c>
      <c r="P3" s="2" t="n">
        <f aca="false">O3/H3</f>
        <v>146.445497630332</v>
      </c>
      <c r="Q3" s="3" t="n">
        <f aca="false">(R3/P3-1)*-1</f>
        <v>0.187411003236246</v>
      </c>
      <c r="R3" s="2" t="n">
        <v>119</v>
      </c>
      <c r="S3" s="2" t="n">
        <v>0</v>
      </c>
    </row>
    <row r="4" customFormat="false" ht="14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0" t="n">
        <v>520256440026061</v>
      </c>
      <c r="F4" s="1" t="s">
        <v>33</v>
      </c>
      <c r="G4" s="1" t="s">
        <v>24</v>
      </c>
      <c r="H4" s="1" t="n">
        <v>2.11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2" t="n">
        <v>309</v>
      </c>
      <c r="P4" s="2" t="n">
        <f aca="false">O4/H4</f>
        <v>146.445497630332</v>
      </c>
      <c r="Q4" s="3" t="n">
        <f aca="false">(R4/P4-1)*-1</f>
        <v>0.187411003236246</v>
      </c>
      <c r="R4" s="2" t="n">
        <v>119</v>
      </c>
      <c r="S4" s="2" t="n">
        <v>0</v>
      </c>
    </row>
    <row r="5" customFormat="false" ht="14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0" t="s">
        <v>34</v>
      </c>
      <c r="F5" s="1" t="s">
        <v>35</v>
      </c>
      <c r="G5" s="1" t="s">
        <v>24</v>
      </c>
      <c r="H5" s="1" t="n">
        <v>1.82</v>
      </c>
      <c r="I5" s="1" t="s">
        <v>36</v>
      </c>
      <c r="J5" s="1" t="s">
        <v>26</v>
      </c>
      <c r="K5" s="1" t="s">
        <v>27</v>
      </c>
      <c r="L5" s="1" t="s">
        <v>28</v>
      </c>
      <c r="M5" s="1" t="s">
        <v>29</v>
      </c>
      <c r="N5" s="1" t="s">
        <v>30</v>
      </c>
      <c r="O5" s="2" t="n">
        <v>289</v>
      </c>
      <c r="P5" s="2" t="n">
        <f aca="false">O5/H5</f>
        <v>158.791208791209</v>
      </c>
      <c r="Q5" s="3" t="n">
        <f aca="false">(R5/P5-1)*-1</f>
        <v>0.187612456747405</v>
      </c>
      <c r="R5" s="2" t="n">
        <v>129</v>
      </c>
      <c r="S5" s="2" t="n">
        <v>0</v>
      </c>
    </row>
    <row r="6" customFormat="false" ht="14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0" t="n">
        <v>520256427011131</v>
      </c>
      <c r="F6" s="1" t="s">
        <v>37</v>
      </c>
      <c r="G6" s="1" t="s">
        <v>24</v>
      </c>
      <c r="H6" s="1" t="n">
        <v>1.82</v>
      </c>
      <c r="I6" s="1" t="s">
        <v>36</v>
      </c>
      <c r="J6" s="1" t="s">
        <v>26</v>
      </c>
      <c r="K6" s="1" t="s">
        <v>27</v>
      </c>
      <c r="L6" s="1" t="s">
        <v>32</v>
      </c>
      <c r="M6" s="1" t="s">
        <v>29</v>
      </c>
      <c r="N6" s="1" t="s">
        <v>30</v>
      </c>
      <c r="O6" s="2" t="n">
        <v>289</v>
      </c>
      <c r="P6" s="2" t="n">
        <f aca="false">O6/H6</f>
        <v>158.791208791209</v>
      </c>
      <c r="Q6" s="3" t="n">
        <f aca="false">(R6/P6-1)*-1</f>
        <v>0.187612456747405</v>
      </c>
      <c r="R6" s="2" t="n">
        <v>129</v>
      </c>
      <c r="S6" s="2" t="n">
        <v>0</v>
      </c>
    </row>
    <row r="7" customFormat="false" ht="14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0" t="s">
        <v>38</v>
      </c>
      <c r="F7" s="1" t="s">
        <v>39</v>
      </c>
      <c r="G7" s="1" t="s">
        <v>24</v>
      </c>
      <c r="H7" s="1" t="n">
        <v>1.82</v>
      </c>
      <c r="I7" s="1" t="s">
        <v>36</v>
      </c>
      <c r="J7" s="1" t="s">
        <v>26</v>
      </c>
      <c r="K7" s="1" t="s">
        <v>27</v>
      </c>
      <c r="L7" s="1" t="s">
        <v>28</v>
      </c>
      <c r="M7" s="1" t="s">
        <v>29</v>
      </c>
      <c r="N7" s="1" t="s">
        <v>30</v>
      </c>
      <c r="O7" s="2" t="n">
        <v>289</v>
      </c>
      <c r="P7" s="2" t="n">
        <f aca="false">O7/H7</f>
        <v>158.791208791209</v>
      </c>
      <c r="Q7" s="3" t="n">
        <f aca="false">(R7/P7-1)*-1</f>
        <v>0.187612456747405</v>
      </c>
      <c r="R7" s="2" t="n">
        <v>129</v>
      </c>
      <c r="S7" s="2" t="n">
        <v>0</v>
      </c>
    </row>
    <row r="8" customFormat="false" ht="14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0" t="n">
        <v>521606425007901</v>
      </c>
      <c r="F8" s="1" t="s">
        <v>40</v>
      </c>
      <c r="G8" s="1" t="s">
        <v>24</v>
      </c>
      <c r="H8" s="1" t="n">
        <v>1.78</v>
      </c>
      <c r="I8" s="1" t="s">
        <v>41</v>
      </c>
      <c r="J8" s="1" t="s">
        <v>26</v>
      </c>
      <c r="K8" s="1" t="s">
        <v>42</v>
      </c>
      <c r="L8" s="1" t="s">
        <v>32</v>
      </c>
      <c r="M8" s="1" t="s">
        <v>43</v>
      </c>
      <c r="N8" s="1" t="s">
        <v>30</v>
      </c>
      <c r="O8" s="2" t="n">
        <v>299</v>
      </c>
      <c r="P8" s="2" t="n">
        <f aca="false">O8/H8</f>
        <v>167.977528089888</v>
      </c>
      <c r="Q8" s="3" t="n">
        <f aca="false">(R8/P8-1)*-1</f>
        <v>0.172508361204013</v>
      </c>
      <c r="R8" s="2" t="n">
        <v>139</v>
      </c>
      <c r="S8" s="2" t="n">
        <v>0</v>
      </c>
    </row>
    <row r="9" customFormat="false" ht="14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0" t="n">
        <v>522910425028901</v>
      </c>
      <c r="F9" s="1" t="s">
        <v>44</v>
      </c>
      <c r="G9" s="1" t="s">
        <v>24</v>
      </c>
      <c r="H9" s="1" t="n">
        <v>1.78</v>
      </c>
      <c r="I9" s="1" t="s">
        <v>41</v>
      </c>
      <c r="J9" s="1" t="s">
        <v>26</v>
      </c>
      <c r="K9" s="1" t="s">
        <v>27</v>
      </c>
      <c r="L9" s="1" t="s">
        <v>28</v>
      </c>
      <c r="M9" s="1" t="s">
        <v>43</v>
      </c>
      <c r="N9" s="1" t="s">
        <v>30</v>
      </c>
      <c r="O9" s="2" t="n">
        <v>299</v>
      </c>
      <c r="P9" s="2" t="n">
        <f aca="false">O9/H9</f>
        <v>167.977528089888</v>
      </c>
      <c r="Q9" s="3" t="n">
        <f aca="false">(R9/P9-1)*-1</f>
        <v>0.172508361204013</v>
      </c>
      <c r="R9" s="2" t="n">
        <v>139</v>
      </c>
      <c r="S9" s="2" t="n">
        <v>0</v>
      </c>
    </row>
    <row r="10" customFormat="false" ht="14" hidden="false" customHeight="false" outlineLevel="0" collapsed="false">
      <c r="A10" s="1" t="s">
        <v>45</v>
      </c>
      <c r="B10" s="1" t="s">
        <v>20</v>
      </c>
      <c r="C10" s="1" t="s">
        <v>21</v>
      </c>
      <c r="D10" s="1" t="s">
        <v>46</v>
      </c>
      <c r="E10" s="1" t="s">
        <v>47</v>
      </c>
      <c r="F10" s="1" t="s">
        <v>48</v>
      </c>
      <c r="G10" s="1" t="s">
        <v>24</v>
      </c>
      <c r="H10" s="1" t="n">
        <v>2.11</v>
      </c>
      <c r="I10" s="1" t="s">
        <v>25</v>
      </c>
      <c r="J10" s="1" t="s">
        <v>26</v>
      </c>
      <c r="K10" s="1" t="s">
        <v>27</v>
      </c>
      <c r="L10" s="1" t="s">
        <v>28</v>
      </c>
      <c r="M10" s="1" t="s">
        <v>43</v>
      </c>
      <c r="N10" s="1" t="s">
        <v>30</v>
      </c>
      <c r="O10" s="2" t="n">
        <v>389</v>
      </c>
      <c r="P10" s="2" t="n">
        <f aca="false">O10/H10</f>
        <v>184.36018957346</v>
      </c>
      <c r="Q10" s="3" t="n">
        <f aca="false">(R10/P10-1)*-1</f>
        <v>0.213496143958869</v>
      </c>
      <c r="R10" s="2" t="n">
        <v>145</v>
      </c>
      <c r="S10" s="2" t="n">
        <f aca="false">R10-10</f>
        <v>135</v>
      </c>
    </row>
    <row r="11" customFormat="false" ht="14" hidden="false" customHeight="false" outlineLevel="0" collapsed="false">
      <c r="A11" s="1" t="s">
        <v>45</v>
      </c>
      <c r="B11" s="1" t="s">
        <v>20</v>
      </c>
      <c r="C11" s="1" t="s">
        <v>21</v>
      </c>
      <c r="D11" s="1" t="s">
        <v>46</v>
      </c>
      <c r="E11" s="1" t="s">
        <v>49</v>
      </c>
      <c r="F11" s="1" t="s">
        <v>50</v>
      </c>
      <c r="G11" s="1" t="s">
        <v>24</v>
      </c>
      <c r="H11" s="1" t="n">
        <v>2.11</v>
      </c>
      <c r="I11" s="1" t="s">
        <v>25</v>
      </c>
      <c r="J11" s="1" t="s">
        <v>26</v>
      </c>
      <c r="K11" s="1" t="s">
        <v>27</v>
      </c>
      <c r="L11" s="1" t="s">
        <v>32</v>
      </c>
      <c r="M11" s="1" t="s">
        <v>43</v>
      </c>
      <c r="N11" s="1" t="s">
        <v>30</v>
      </c>
      <c r="O11" s="2" t="n">
        <v>389</v>
      </c>
      <c r="P11" s="2" t="n">
        <f aca="false">O11/H11</f>
        <v>184.36018957346</v>
      </c>
      <c r="Q11" s="3" t="n">
        <f aca="false">(R11/P11-1)*-1</f>
        <v>0.213496143958869</v>
      </c>
      <c r="R11" s="2" t="n">
        <v>145</v>
      </c>
      <c r="S11" s="2" t="n">
        <f aca="false">R11-10</f>
        <v>135</v>
      </c>
    </row>
    <row r="12" customFormat="false" ht="14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0" t="s">
        <v>51</v>
      </c>
      <c r="F12" s="1" t="s">
        <v>52</v>
      </c>
      <c r="G12" s="1" t="s">
        <v>24</v>
      </c>
      <c r="H12" s="1" t="n">
        <v>1.82</v>
      </c>
      <c r="I12" s="1" t="s">
        <v>36</v>
      </c>
      <c r="J12" s="1" t="s">
        <v>26</v>
      </c>
      <c r="K12" s="1" t="s">
        <v>27</v>
      </c>
      <c r="L12" s="1" t="s">
        <v>28</v>
      </c>
      <c r="M12" s="1" t="s">
        <v>29</v>
      </c>
      <c r="N12" s="1" t="s">
        <v>30</v>
      </c>
      <c r="O12" s="2" t="n">
        <v>329</v>
      </c>
      <c r="P12" s="2" t="n">
        <f aca="false">O12/H12</f>
        <v>180.769230769231</v>
      </c>
      <c r="Q12" s="3" t="n">
        <f aca="false">(R12/P12-1)*-1</f>
        <v>0.175744680851064</v>
      </c>
      <c r="R12" s="2" t="n">
        <v>149</v>
      </c>
      <c r="S12" s="2" t="n">
        <v>0</v>
      </c>
    </row>
    <row r="13" customFormat="false" ht="14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0" t="s">
        <v>53</v>
      </c>
      <c r="F13" s="1" t="s">
        <v>54</v>
      </c>
      <c r="G13" s="1" t="s">
        <v>24</v>
      </c>
      <c r="H13" s="1" t="n">
        <v>1.78</v>
      </c>
      <c r="I13" s="1" t="s">
        <v>41</v>
      </c>
      <c r="J13" s="1" t="s">
        <v>26</v>
      </c>
      <c r="K13" s="1" t="s">
        <v>27</v>
      </c>
      <c r="L13" s="1" t="s">
        <v>28</v>
      </c>
      <c r="M13" s="1" t="s">
        <v>29</v>
      </c>
      <c r="N13" s="1" t="s">
        <v>30</v>
      </c>
      <c r="O13" s="2" t="n">
        <v>329</v>
      </c>
      <c r="P13" s="2" t="n">
        <f aca="false">O13/H13</f>
        <v>184.831460674157</v>
      </c>
      <c r="Q13" s="3" t="n">
        <f aca="false">(R13/P13-1)*-1</f>
        <v>0.193860182370821</v>
      </c>
      <c r="R13" s="2" t="n">
        <v>149</v>
      </c>
      <c r="S13" s="2" t="n">
        <v>0</v>
      </c>
    </row>
    <row r="14" customFormat="false" ht="14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0" t="n">
        <v>520963425007261</v>
      </c>
      <c r="F14" s="1" t="s">
        <v>55</v>
      </c>
      <c r="G14" s="1" t="s">
        <v>24</v>
      </c>
      <c r="H14" s="1" t="n">
        <v>1.78</v>
      </c>
      <c r="I14" s="1" t="s">
        <v>41</v>
      </c>
      <c r="J14" s="1" t="s">
        <v>26</v>
      </c>
      <c r="K14" s="1" t="s">
        <v>27</v>
      </c>
      <c r="L14" s="1" t="s">
        <v>56</v>
      </c>
      <c r="M14" s="1" t="s">
        <v>29</v>
      </c>
      <c r="N14" s="1" t="s">
        <v>30</v>
      </c>
      <c r="O14" s="2" t="n">
        <v>329</v>
      </c>
      <c r="P14" s="2" t="n">
        <f aca="false">O14/H14</f>
        <v>184.831460674157</v>
      </c>
      <c r="Q14" s="3" t="n">
        <f aca="false">(R14/P14-1)*-1</f>
        <v>0.193860182370821</v>
      </c>
      <c r="R14" s="2" t="n">
        <v>149</v>
      </c>
      <c r="S14" s="2" t="n">
        <v>0</v>
      </c>
    </row>
    <row r="15" customFormat="false" ht="14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0" t="n">
        <v>522593425284261</v>
      </c>
      <c r="F15" s="1" t="s">
        <v>57</v>
      </c>
      <c r="G15" s="1" t="s">
        <v>24</v>
      </c>
      <c r="H15" s="1" t="n">
        <v>1.78</v>
      </c>
      <c r="I15" s="1" t="s">
        <v>41</v>
      </c>
      <c r="J15" s="1" t="s">
        <v>26</v>
      </c>
      <c r="K15" s="1" t="s">
        <v>58</v>
      </c>
      <c r="L15" s="1" t="s">
        <v>59</v>
      </c>
      <c r="M15" s="1" t="s">
        <v>43</v>
      </c>
      <c r="N15" s="1" t="s">
        <v>30</v>
      </c>
      <c r="O15" s="2" t="n">
        <v>329</v>
      </c>
      <c r="P15" s="2" t="n">
        <f aca="false">O15/H15</f>
        <v>184.831460674157</v>
      </c>
      <c r="Q15" s="3" t="n">
        <f aca="false">(R15/P15-1)*-1</f>
        <v>0.193860182370821</v>
      </c>
      <c r="R15" s="2" t="n">
        <v>149</v>
      </c>
      <c r="S15" s="2" t="n">
        <v>0</v>
      </c>
    </row>
    <row r="16" customFormat="false" ht="14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0" t="n">
        <v>522595425007261</v>
      </c>
      <c r="F16" s="1" t="s">
        <v>60</v>
      </c>
      <c r="G16" s="1" t="s">
        <v>24</v>
      </c>
      <c r="H16" s="1" t="n">
        <v>1.78</v>
      </c>
      <c r="I16" s="1" t="s">
        <v>41</v>
      </c>
      <c r="J16" s="1" t="s">
        <v>26</v>
      </c>
      <c r="K16" s="1" t="s">
        <v>61</v>
      </c>
      <c r="L16" s="1" t="s">
        <v>56</v>
      </c>
      <c r="M16" s="1" t="s">
        <v>43</v>
      </c>
      <c r="N16" s="1" t="s">
        <v>30</v>
      </c>
      <c r="O16" s="2" t="n">
        <v>329</v>
      </c>
      <c r="P16" s="2" t="n">
        <f aca="false">O16/H16</f>
        <v>184.831460674157</v>
      </c>
      <c r="Q16" s="3" t="n">
        <f aca="false">(R16/P16-1)*-1</f>
        <v>0.193860182370821</v>
      </c>
      <c r="R16" s="2" t="n">
        <v>149</v>
      </c>
      <c r="S16" s="2" t="n">
        <v>0</v>
      </c>
    </row>
    <row r="17" customFormat="false" ht="14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0" t="n">
        <v>522924440011061</v>
      </c>
      <c r="F17" s="1" t="s">
        <v>62</v>
      </c>
      <c r="G17" s="1" t="s">
        <v>24</v>
      </c>
      <c r="H17" s="1" t="n">
        <v>2.11</v>
      </c>
      <c r="I17" s="1" t="s">
        <v>25</v>
      </c>
      <c r="J17" s="1" t="s">
        <v>26</v>
      </c>
      <c r="K17" s="1" t="s">
        <v>27</v>
      </c>
      <c r="L17" s="1" t="s">
        <v>63</v>
      </c>
      <c r="M17" s="1" t="s">
        <v>43</v>
      </c>
      <c r="N17" s="1" t="s">
        <v>30</v>
      </c>
      <c r="O17" s="2" t="n">
        <v>429</v>
      </c>
      <c r="P17" s="2" t="n">
        <f aca="false">O17/H17</f>
        <v>203.317535545024</v>
      </c>
      <c r="Q17" s="3" t="n">
        <f aca="false">(R17/P17-1)*-1</f>
        <v>0.267156177156177</v>
      </c>
      <c r="R17" s="2" t="n">
        <v>149</v>
      </c>
      <c r="S17" s="2" t="n">
        <v>0</v>
      </c>
    </row>
    <row r="18" customFormat="false" ht="14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0" t="n">
        <v>520906025010031</v>
      </c>
      <c r="F18" s="1" t="s">
        <v>64</v>
      </c>
      <c r="G18" s="1" t="s">
        <v>24</v>
      </c>
      <c r="H18" s="1" t="n">
        <v>1.62</v>
      </c>
      <c r="I18" s="1" t="s">
        <v>65</v>
      </c>
      <c r="J18" s="1" t="s">
        <v>26</v>
      </c>
      <c r="K18" s="1" t="s">
        <v>27</v>
      </c>
      <c r="L18" s="1" t="s">
        <v>28</v>
      </c>
      <c r="M18" s="1" t="s">
        <v>29</v>
      </c>
      <c r="N18" s="1" t="s">
        <v>30</v>
      </c>
      <c r="O18" s="2" t="n">
        <v>299</v>
      </c>
      <c r="P18" s="2" t="n">
        <f aca="false">O18/H18</f>
        <v>184.567901234568</v>
      </c>
      <c r="Q18" s="3" t="n">
        <f aca="false">(R18/P18-1)*-1</f>
        <v>0.192709030100334</v>
      </c>
      <c r="R18" s="2" t="n">
        <v>149</v>
      </c>
      <c r="S18" s="2" t="n">
        <v>0</v>
      </c>
    </row>
    <row r="19" customFormat="false" ht="14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0" t="n">
        <v>520906025026131</v>
      </c>
      <c r="F19" s="1" t="s">
        <v>66</v>
      </c>
      <c r="G19" s="1" t="s">
        <v>24</v>
      </c>
      <c r="H19" s="1" t="n">
        <v>1.62</v>
      </c>
      <c r="I19" s="1" t="s">
        <v>65</v>
      </c>
      <c r="J19" s="1" t="s">
        <v>26</v>
      </c>
      <c r="K19" s="1" t="s">
        <v>27</v>
      </c>
      <c r="L19" s="1" t="s">
        <v>32</v>
      </c>
      <c r="M19" s="1" t="s">
        <v>29</v>
      </c>
      <c r="N19" s="1" t="s">
        <v>30</v>
      </c>
      <c r="O19" s="2" t="n">
        <v>299</v>
      </c>
      <c r="P19" s="2" t="n">
        <f aca="false">O19/H19</f>
        <v>184.567901234568</v>
      </c>
      <c r="Q19" s="3" t="n">
        <f aca="false">(R19/P19-1)*-1</f>
        <v>0.192709030100334</v>
      </c>
      <c r="R19" s="2" t="n">
        <v>149</v>
      </c>
      <c r="S19" s="2" t="n">
        <v>0</v>
      </c>
    </row>
    <row r="20" customFormat="false" ht="14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0" t="n">
        <v>520906025026031</v>
      </c>
      <c r="F20" s="1" t="s">
        <v>67</v>
      </c>
      <c r="G20" s="1" t="s">
        <v>24</v>
      </c>
      <c r="H20" s="1" t="n">
        <v>1.62</v>
      </c>
      <c r="I20" s="1" t="s">
        <v>65</v>
      </c>
      <c r="J20" s="1" t="s">
        <v>26</v>
      </c>
      <c r="K20" s="1" t="s">
        <v>27</v>
      </c>
      <c r="L20" s="1" t="s">
        <v>28</v>
      </c>
      <c r="M20" s="1" t="s">
        <v>29</v>
      </c>
      <c r="N20" s="1" t="s">
        <v>30</v>
      </c>
      <c r="O20" s="2" t="n">
        <v>299</v>
      </c>
      <c r="P20" s="2" t="n">
        <f aca="false">O20/H20</f>
        <v>184.567901234568</v>
      </c>
      <c r="Q20" s="3" t="n">
        <f aca="false">(R20/P20-1)*-1</f>
        <v>0.192709030100334</v>
      </c>
      <c r="R20" s="2" t="n">
        <v>149</v>
      </c>
      <c r="S20" s="2" t="n">
        <v>0</v>
      </c>
    </row>
    <row r="21" customFormat="false" ht="14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0" t="n">
        <v>522676325343061</v>
      </c>
      <c r="F21" s="1" t="s">
        <v>68</v>
      </c>
      <c r="G21" s="1" t="s">
        <v>24</v>
      </c>
      <c r="H21" s="1" t="n">
        <v>1.64</v>
      </c>
      <c r="I21" s="1" t="s">
        <v>69</v>
      </c>
      <c r="J21" s="1" t="s">
        <v>26</v>
      </c>
      <c r="K21" s="1" t="s">
        <v>58</v>
      </c>
      <c r="L21" s="1" t="s">
        <v>28</v>
      </c>
      <c r="M21" s="1" t="s">
        <v>29</v>
      </c>
      <c r="N21" s="1" t="s">
        <v>30</v>
      </c>
      <c r="O21" s="2" t="n">
        <v>379</v>
      </c>
      <c r="P21" s="2" t="n">
        <f aca="false">O21/H21</f>
        <v>231.09756097561</v>
      </c>
      <c r="Q21" s="3" t="n">
        <f aca="false">(R21/P21-1)*-1</f>
        <v>0.268707124010554</v>
      </c>
      <c r="R21" s="2" t="n">
        <v>169</v>
      </c>
      <c r="S21" s="2" t="n">
        <v>149</v>
      </c>
    </row>
    <row r="22" customFormat="false" ht="14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0" t="n">
        <v>522676325074061</v>
      </c>
      <c r="F22" s="1" t="s">
        <v>70</v>
      </c>
      <c r="G22" s="1" t="s">
        <v>24</v>
      </c>
      <c r="H22" s="1" t="n">
        <v>1.64</v>
      </c>
      <c r="I22" s="1" t="s">
        <v>69</v>
      </c>
      <c r="J22" s="1" t="s">
        <v>26</v>
      </c>
      <c r="K22" s="1" t="s">
        <v>58</v>
      </c>
      <c r="L22" s="1" t="s">
        <v>28</v>
      </c>
      <c r="M22" s="1" t="s">
        <v>29</v>
      </c>
      <c r="N22" s="1" t="s">
        <v>30</v>
      </c>
      <c r="O22" s="2" t="n">
        <v>379</v>
      </c>
      <c r="P22" s="2" t="n">
        <f aca="false">O22/H22</f>
        <v>231.09756097561</v>
      </c>
      <c r="Q22" s="3" t="n">
        <f aca="false">(R22/P22-1)*-1</f>
        <v>0.268707124010554</v>
      </c>
      <c r="R22" s="2" t="n">
        <v>169</v>
      </c>
      <c r="S22" s="2" t="n">
        <v>0</v>
      </c>
    </row>
    <row r="23" customFormat="false" ht="14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0" t="n">
        <v>522676325863061</v>
      </c>
      <c r="F23" s="1" t="s">
        <v>71</v>
      </c>
      <c r="G23" s="1" t="s">
        <v>24</v>
      </c>
      <c r="H23" s="1" t="n">
        <v>1.64</v>
      </c>
      <c r="I23" s="1" t="s">
        <v>69</v>
      </c>
      <c r="J23" s="1" t="s">
        <v>26</v>
      </c>
      <c r="K23" s="1" t="s">
        <v>58</v>
      </c>
      <c r="L23" s="1" t="s">
        <v>32</v>
      </c>
      <c r="M23" s="1" t="s">
        <v>29</v>
      </c>
      <c r="N23" s="1" t="s">
        <v>30</v>
      </c>
      <c r="O23" s="2" t="n">
        <v>379</v>
      </c>
      <c r="P23" s="2" t="n">
        <f aca="false">O23/H23</f>
        <v>231.09756097561</v>
      </c>
      <c r="Q23" s="3" t="n">
        <f aca="false">(R23/P23-1)*-1</f>
        <v>0.268707124010554</v>
      </c>
      <c r="R23" s="2" t="n">
        <v>169</v>
      </c>
      <c r="S23" s="2" t="n">
        <v>0</v>
      </c>
    </row>
    <row r="24" customFormat="false" ht="14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0" t="n">
        <v>522676325111061</v>
      </c>
      <c r="F24" s="1" t="s">
        <v>72</v>
      </c>
      <c r="G24" s="1" t="s">
        <v>24</v>
      </c>
      <c r="H24" s="1" t="n">
        <v>1.64</v>
      </c>
      <c r="I24" s="1" t="s">
        <v>69</v>
      </c>
      <c r="J24" s="1" t="s">
        <v>26</v>
      </c>
      <c r="K24" s="1" t="s">
        <v>58</v>
      </c>
      <c r="L24" s="1" t="s">
        <v>28</v>
      </c>
      <c r="M24" s="1" t="s">
        <v>29</v>
      </c>
      <c r="N24" s="1" t="s">
        <v>30</v>
      </c>
      <c r="O24" s="2" t="n">
        <v>379</v>
      </c>
      <c r="P24" s="2" t="n">
        <f aca="false">O24/H24</f>
        <v>231.09756097561</v>
      </c>
      <c r="Q24" s="3" t="n">
        <f aca="false">(R24/P24-1)*-1</f>
        <v>0.268707124010554</v>
      </c>
      <c r="R24" s="2" t="n">
        <v>169</v>
      </c>
      <c r="S24" s="2" t="n">
        <v>0</v>
      </c>
    </row>
    <row r="25" customFormat="false" ht="14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0" t="n">
        <v>522838427124131</v>
      </c>
      <c r="F25" s="1" t="s">
        <v>73</v>
      </c>
      <c r="G25" s="1" t="s">
        <v>24</v>
      </c>
      <c r="H25" s="1" t="n">
        <v>1.82</v>
      </c>
      <c r="I25" s="1" t="s">
        <v>36</v>
      </c>
      <c r="J25" s="1" t="s">
        <v>26</v>
      </c>
      <c r="K25" s="1" t="s">
        <v>27</v>
      </c>
      <c r="L25" s="1" t="s">
        <v>74</v>
      </c>
      <c r="M25" s="1" t="s">
        <v>43</v>
      </c>
      <c r="N25" s="1" t="s">
        <v>30</v>
      </c>
      <c r="O25" s="2" t="n">
        <v>379</v>
      </c>
      <c r="P25" s="2" t="n">
        <f aca="false">O25/H25</f>
        <v>208.241758241758</v>
      </c>
      <c r="Q25" s="3" t="n">
        <f aca="false">(R25/P25-1)*-1</f>
        <v>0.18844327176781</v>
      </c>
      <c r="R25" s="2" t="n">
        <v>169</v>
      </c>
      <c r="S25" s="2" t="n">
        <v>0</v>
      </c>
    </row>
    <row r="26" customFormat="false" ht="14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0" t="n">
        <v>522838427125131</v>
      </c>
      <c r="F26" s="1" t="s">
        <v>75</v>
      </c>
      <c r="G26" s="1" t="s">
        <v>24</v>
      </c>
      <c r="H26" s="1" t="n">
        <v>1.82</v>
      </c>
      <c r="I26" s="1" t="s">
        <v>36</v>
      </c>
      <c r="J26" s="1" t="s">
        <v>26</v>
      </c>
      <c r="K26" s="1" t="s">
        <v>27</v>
      </c>
      <c r="L26" s="1" t="s">
        <v>28</v>
      </c>
      <c r="M26" s="1" t="s">
        <v>43</v>
      </c>
      <c r="N26" s="1" t="s">
        <v>30</v>
      </c>
      <c r="O26" s="2" t="n">
        <v>379</v>
      </c>
      <c r="P26" s="2" t="n">
        <f aca="false">O26/H26</f>
        <v>208.241758241758</v>
      </c>
      <c r="Q26" s="3" t="n">
        <f aca="false">(R26/P26-1)*-1</f>
        <v>0.18844327176781</v>
      </c>
      <c r="R26" s="2" t="n">
        <v>169</v>
      </c>
      <c r="S26" s="2" t="n">
        <v>0</v>
      </c>
    </row>
    <row r="27" customFormat="false" ht="14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0" t="n">
        <v>522838427011131</v>
      </c>
      <c r="F27" s="1" t="s">
        <v>76</v>
      </c>
      <c r="G27" s="1" t="s">
        <v>24</v>
      </c>
      <c r="H27" s="1" t="n">
        <v>1.82</v>
      </c>
      <c r="I27" s="1" t="s">
        <v>36</v>
      </c>
      <c r="J27" s="1" t="s">
        <v>26</v>
      </c>
      <c r="K27" s="1" t="s">
        <v>27</v>
      </c>
      <c r="L27" s="1" t="s">
        <v>32</v>
      </c>
      <c r="M27" s="1" t="s">
        <v>43</v>
      </c>
      <c r="N27" s="1" t="s">
        <v>30</v>
      </c>
      <c r="O27" s="2" t="n">
        <v>379</v>
      </c>
      <c r="P27" s="2" t="n">
        <f aca="false">O27/H27</f>
        <v>208.241758241758</v>
      </c>
      <c r="Q27" s="3" t="n">
        <f aca="false">(R27/P27-1)*-1</f>
        <v>0.18844327176781</v>
      </c>
      <c r="R27" s="2" t="n">
        <v>169</v>
      </c>
      <c r="S27" s="2" t="n">
        <v>0</v>
      </c>
    </row>
    <row r="28" customFormat="false" ht="14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0" t="n">
        <v>522838427098131</v>
      </c>
      <c r="F28" s="1" t="s">
        <v>77</v>
      </c>
      <c r="G28" s="1" t="s">
        <v>24</v>
      </c>
      <c r="H28" s="1" t="n">
        <v>1.82</v>
      </c>
      <c r="I28" s="1" t="s">
        <v>36</v>
      </c>
      <c r="J28" s="1" t="s">
        <v>26</v>
      </c>
      <c r="K28" s="1" t="s">
        <v>27</v>
      </c>
      <c r="L28" s="1" t="s">
        <v>78</v>
      </c>
      <c r="M28" s="1" t="s">
        <v>43</v>
      </c>
      <c r="N28" s="1" t="s">
        <v>30</v>
      </c>
      <c r="O28" s="2" t="n">
        <v>379</v>
      </c>
      <c r="P28" s="2" t="n">
        <f aca="false">O28/H28</f>
        <v>208.241758241758</v>
      </c>
      <c r="Q28" s="3" t="n">
        <f aca="false">(R28/P28-1)*-1</f>
        <v>0.18844327176781</v>
      </c>
      <c r="R28" s="2" t="n">
        <v>169</v>
      </c>
      <c r="S28" s="2" t="n">
        <v>0</v>
      </c>
    </row>
    <row r="29" customFormat="false" ht="14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0" t="n">
        <v>522979425007901</v>
      </c>
      <c r="F29" s="1" t="s">
        <v>79</v>
      </c>
      <c r="G29" s="1" t="s">
        <v>24</v>
      </c>
      <c r="H29" s="1" t="n">
        <v>1.78</v>
      </c>
      <c r="I29" s="1" t="s">
        <v>41</v>
      </c>
      <c r="J29" s="1" t="s">
        <v>26</v>
      </c>
      <c r="K29" s="1" t="s">
        <v>27</v>
      </c>
      <c r="L29" s="1" t="s">
        <v>56</v>
      </c>
      <c r="M29" s="1" t="s">
        <v>43</v>
      </c>
      <c r="N29" s="1" t="s">
        <v>30</v>
      </c>
      <c r="O29" s="2" t="n">
        <v>369</v>
      </c>
      <c r="P29" s="2" t="n">
        <f aca="false">O29/H29</f>
        <v>207.303370786517</v>
      </c>
      <c r="Q29" s="3" t="n">
        <f aca="false">(R29/P29-1)*-1</f>
        <v>0.184769647696477</v>
      </c>
      <c r="R29" s="2" t="n">
        <v>169</v>
      </c>
      <c r="S29" s="2" t="n">
        <v>0</v>
      </c>
    </row>
    <row r="30" customFormat="false" ht="14" hidden="false" customHeight="false" outlineLevel="0" collapsed="false">
      <c r="A30" s="1" t="s">
        <v>19</v>
      </c>
      <c r="B30" s="1" t="s">
        <v>20</v>
      </c>
      <c r="C30" s="1" t="s">
        <v>21</v>
      </c>
      <c r="D30" s="1" t="s">
        <v>22</v>
      </c>
      <c r="E30" s="10" t="n">
        <v>522676325847061</v>
      </c>
      <c r="F30" s="1" t="s">
        <v>80</v>
      </c>
      <c r="G30" s="1" t="s">
        <v>24</v>
      </c>
      <c r="H30" s="1" t="n">
        <v>1.64</v>
      </c>
      <c r="I30" s="1" t="s">
        <v>69</v>
      </c>
      <c r="J30" s="1" t="s">
        <v>26</v>
      </c>
      <c r="K30" s="1" t="s">
        <v>58</v>
      </c>
      <c r="L30" s="1" t="s">
        <v>59</v>
      </c>
      <c r="M30" s="1" t="s">
        <v>29</v>
      </c>
      <c r="N30" s="1" t="s">
        <v>30</v>
      </c>
      <c r="O30" s="2" t="n">
        <v>379</v>
      </c>
      <c r="P30" s="2" t="n">
        <f aca="false">O30/H30</f>
        <v>231.09756097561</v>
      </c>
      <c r="Q30" s="3" t="n">
        <f aca="false">(R30/P30-1)*-1</f>
        <v>0.268707124010554</v>
      </c>
      <c r="R30" s="2" t="n">
        <v>169</v>
      </c>
      <c r="S30" s="2" t="n">
        <v>159</v>
      </c>
    </row>
    <row r="31" customFormat="false" ht="14" hidden="false" customHeight="false" outlineLevel="0" collapsed="false">
      <c r="A31" s="1" t="s">
        <v>45</v>
      </c>
      <c r="B31" s="1" t="s">
        <v>20</v>
      </c>
      <c r="C31" s="1" t="s">
        <v>21</v>
      </c>
      <c r="D31" s="1" t="s">
        <v>46</v>
      </c>
      <c r="E31" s="1" t="s">
        <v>81</v>
      </c>
      <c r="F31" s="1" t="s">
        <v>82</v>
      </c>
      <c r="G31" s="1" t="s">
        <v>24</v>
      </c>
      <c r="H31" s="1" t="n">
        <v>1.825</v>
      </c>
      <c r="I31" s="1" t="s">
        <v>83</v>
      </c>
      <c r="J31" s="1" t="s">
        <v>26</v>
      </c>
      <c r="K31" s="1" t="s">
        <v>42</v>
      </c>
      <c r="L31" s="1" t="s">
        <v>28</v>
      </c>
      <c r="M31" s="1" t="s">
        <v>29</v>
      </c>
      <c r="N31" s="1" t="s">
        <v>30</v>
      </c>
      <c r="O31" s="2" t="n">
        <v>544</v>
      </c>
      <c r="P31" s="2" t="n">
        <f aca="false">O31/H31</f>
        <v>298.082191780822</v>
      </c>
      <c r="Q31" s="3" t="n">
        <f aca="false">(R31/P31-1)*-1</f>
        <v>0.433042279411765</v>
      </c>
      <c r="R31" s="2" t="n">
        <v>169</v>
      </c>
    </row>
    <row r="32" customFormat="false" ht="14" hidden="false" customHeight="false" outlineLevel="0" collapsed="false">
      <c r="A32" s="1" t="s">
        <v>19</v>
      </c>
      <c r="B32" s="1" t="s">
        <v>20</v>
      </c>
      <c r="C32" s="1" t="s">
        <v>21</v>
      </c>
      <c r="D32" s="1" t="s">
        <v>22</v>
      </c>
      <c r="E32" s="10" t="n">
        <v>522531090011021</v>
      </c>
      <c r="F32" s="1" t="s">
        <v>84</v>
      </c>
      <c r="G32" s="1" t="s">
        <v>24</v>
      </c>
      <c r="H32" s="1" t="n">
        <v>1.62</v>
      </c>
      <c r="I32" s="1" t="s">
        <v>85</v>
      </c>
      <c r="J32" s="1" t="s">
        <v>26</v>
      </c>
      <c r="K32" s="1" t="s">
        <v>27</v>
      </c>
      <c r="L32" s="1" t="s">
        <v>32</v>
      </c>
      <c r="M32" s="1" t="s">
        <v>29</v>
      </c>
      <c r="N32" s="1" t="s">
        <v>30</v>
      </c>
      <c r="O32" s="2" t="n">
        <v>359</v>
      </c>
      <c r="P32" s="2" t="n">
        <f aca="false">O32/H32</f>
        <v>221.604938271605</v>
      </c>
      <c r="Q32" s="3" t="n">
        <f aca="false">(R32/P32-1)*-1</f>
        <v>0.192256267409471</v>
      </c>
      <c r="R32" s="2" t="n">
        <v>179</v>
      </c>
      <c r="S32" s="2" t="n">
        <v>0</v>
      </c>
    </row>
    <row r="33" customFormat="false" ht="14" hidden="false" customHeight="false" outlineLevel="0" collapsed="false">
      <c r="A33" s="1" t="s">
        <v>19</v>
      </c>
      <c r="B33" s="1" t="s">
        <v>20</v>
      </c>
      <c r="C33" s="1" t="s">
        <v>21</v>
      </c>
      <c r="D33" s="1" t="s">
        <v>22</v>
      </c>
      <c r="E33" s="10" t="n">
        <v>522531090003021</v>
      </c>
      <c r="F33" s="1" t="s">
        <v>86</v>
      </c>
      <c r="G33" s="1" t="s">
        <v>24</v>
      </c>
      <c r="H33" s="1" t="n">
        <v>1.62</v>
      </c>
      <c r="I33" s="1" t="s">
        <v>85</v>
      </c>
      <c r="J33" s="1" t="s">
        <v>26</v>
      </c>
      <c r="K33" s="1" t="s">
        <v>27</v>
      </c>
      <c r="L33" s="1" t="s">
        <v>59</v>
      </c>
      <c r="M33" s="1" t="s">
        <v>29</v>
      </c>
      <c r="N33" s="1" t="s">
        <v>30</v>
      </c>
      <c r="O33" s="2" t="n">
        <v>359</v>
      </c>
      <c r="P33" s="2" t="n">
        <f aca="false">O33/H33</f>
        <v>221.604938271605</v>
      </c>
      <c r="Q33" s="3" t="n">
        <f aca="false">(R33/P33-1)*-1</f>
        <v>0.192256267409471</v>
      </c>
      <c r="R33" s="2" t="n">
        <v>179</v>
      </c>
      <c r="S33" s="2" t="n">
        <v>0</v>
      </c>
    </row>
    <row r="34" customFormat="false" ht="14" hidden="false" customHeight="false" outlineLevel="0" collapsed="false">
      <c r="A34" s="1" t="s">
        <v>19</v>
      </c>
      <c r="B34" s="1" t="s">
        <v>20</v>
      </c>
      <c r="C34" s="1" t="s">
        <v>21</v>
      </c>
      <c r="D34" s="1" t="s">
        <v>22</v>
      </c>
      <c r="E34" s="10" t="n">
        <v>522546090028021</v>
      </c>
      <c r="F34" s="1" t="s">
        <v>87</v>
      </c>
      <c r="G34" s="1" t="s">
        <v>24</v>
      </c>
      <c r="H34" s="1" t="n">
        <v>1.62</v>
      </c>
      <c r="I34" s="1" t="s">
        <v>85</v>
      </c>
      <c r="J34" s="1" t="s">
        <v>26</v>
      </c>
      <c r="K34" s="1" t="s">
        <v>42</v>
      </c>
      <c r="L34" s="1" t="s">
        <v>28</v>
      </c>
      <c r="M34" s="1" t="s">
        <v>29</v>
      </c>
      <c r="N34" s="1" t="s">
        <v>30</v>
      </c>
      <c r="O34" s="2" t="n">
        <v>359</v>
      </c>
      <c r="P34" s="2" t="n">
        <f aca="false">O34/H34</f>
        <v>221.604938271605</v>
      </c>
      <c r="Q34" s="3" t="n">
        <f aca="false">(R34/P34-1)*-1</f>
        <v>0.192256267409471</v>
      </c>
      <c r="R34" s="2" t="n">
        <v>179</v>
      </c>
      <c r="S34" s="2" t="n">
        <v>0</v>
      </c>
    </row>
    <row r="35" customFormat="false" ht="14" hidden="false" customHeight="false" outlineLevel="0" collapsed="false">
      <c r="A35" s="1" t="s">
        <v>19</v>
      </c>
      <c r="B35" s="1" t="s">
        <v>20</v>
      </c>
      <c r="C35" s="1" t="s">
        <v>21</v>
      </c>
      <c r="D35" s="1" t="s">
        <v>22</v>
      </c>
      <c r="E35" s="10" t="n">
        <v>522546090567021</v>
      </c>
      <c r="F35" s="1" t="s">
        <v>88</v>
      </c>
      <c r="G35" s="1" t="s">
        <v>24</v>
      </c>
      <c r="H35" s="1" t="n">
        <v>1.62</v>
      </c>
      <c r="I35" s="1" t="s">
        <v>85</v>
      </c>
      <c r="J35" s="1" t="s">
        <v>26</v>
      </c>
      <c r="K35" s="1" t="s">
        <v>42</v>
      </c>
      <c r="L35" s="1" t="s">
        <v>32</v>
      </c>
      <c r="M35" s="1" t="s">
        <v>29</v>
      </c>
      <c r="N35" s="1" t="s">
        <v>30</v>
      </c>
      <c r="O35" s="2" t="n">
        <v>359</v>
      </c>
      <c r="P35" s="2" t="n">
        <f aca="false">O35/H35</f>
        <v>221.604938271605</v>
      </c>
      <c r="Q35" s="3" t="n">
        <f aca="false">(R35/P35-1)*-1</f>
        <v>0.192256267409471</v>
      </c>
      <c r="R35" s="2" t="n">
        <v>179</v>
      </c>
      <c r="S35" s="2" t="n">
        <v>0</v>
      </c>
    </row>
    <row r="36" customFormat="false" ht="14" hidden="false" customHeight="false" outlineLevel="0" collapsed="false">
      <c r="A36" s="1" t="s">
        <v>19</v>
      </c>
      <c r="B36" s="1" t="s">
        <v>20</v>
      </c>
      <c r="C36" s="1" t="s">
        <v>21</v>
      </c>
      <c r="D36" s="1" t="s">
        <v>22</v>
      </c>
      <c r="E36" s="10" t="n">
        <v>521282090056021</v>
      </c>
      <c r="F36" s="1" t="s">
        <v>89</v>
      </c>
      <c r="G36" s="1" t="s">
        <v>24</v>
      </c>
      <c r="H36" s="1" t="n">
        <v>1.62</v>
      </c>
      <c r="I36" s="1" t="s">
        <v>85</v>
      </c>
      <c r="J36" s="1" t="s">
        <v>26</v>
      </c>
      <c r="K36" s="1" t="s">
        <v>27</v>
      </c>
      <c r="L36" s="1" t="s">
        <v>28</v>
      </c>
      <c r="M36" s="1" t="s">
        <v>29</v>
      </c>
      <c r="N36" s="1" t="s">
        <v>30</v>
      </c>
      <c r="O36" s="2" t="n">
        <v>359</v>
      </c>
      <c r="P36" s="2" t="n">
        <f aca="false">O36/H36</f>
        <v>221.604938271605</v>
      </c>
      <c r="Q36" s="3" t="n">
        <f aca="false">(R36/P36-1)*-1</f>
        <v>0.192256267409471</v>
      </c>
      <c r="R36" s="2" t="n">
        <v>179</v>
      </c>
      <c r="S36" s="2" t="n">
        <v>0</v>
      </c>
    </row>
    <row r="37" customFormat="false" ht="14" hidden="false" customHeight="false" outlineLevel="0" collapsed="false">
      <c r="A37" s="1" t="s">
        <v>45</v>
      </c>
      <c r="B37" s="1" t="s">
        <v>20</v>
      </c>
      <c r="C37" s="1" t="s">
        <v>21</v>
      </c>
      <c r="D37" s="1" t="s">
        <v>46</v>
      </c>
      <c r="E37" s="1" t="s">
        <v>90</v>
      </c>
      <c r="F37" s="1" t="s">
        <v>91</v>
      </c>
      <c r="G37" s="1" t="s">
        <v>24</v>
      </c>
      <c r="H37" s="1" t="n">
        <v>2.11</v>
      </c>
      <c r="I37" s="1" t="s">
        <v>25</v>
      </c>
      <c r="J37" s="1" t="s">
        <v>26</v>
      </c>
      <c r="K37" s="1" t="s">
        <v>27</v>
      </c>
      <c r="L37" s="1" t="s">
        <v>56</v>
      </c>
      <c r="M37" s="1" t="s">
        <v>43</v>
      </c>
      <c r="N37" s="1" t="s">
        <v>30</v>
      </c>
      <c r="O37" s="2" t="n">
        <v>469</v>
      </c>
      <c r="P37" s="2" t="n">
        <f aca="false">O37/H37</f>
        <v>222.274881516588</v>
      </c>
      <c r="Q37" s="3" t="n">
        <f aca="false">(R37/P37-1)*-1</f>
        <v>0.194690831556503</v>
      </c>
      <c r="R37" s="2" t="n">
        <v>179</v>
      </c>
      <c r="S37" s="2" t="n">
        <f aca="false">R37-10</f>
        <v>169</v>
      </c>
    </row>
    <row r="38" customFormat="false" ht="14" hidden="false" customHeight="false" outlineLevel="0" collapsed="false">
      <c r="A38" s="1" t="s">
        <v>92</v>
      </c>
      <c r="B38" s="1" t="s">
        <v>20</v>
      </c>
      <c r="C38" s="1" t="s">
        <v>21</v>
      </c>
      <c r="D38" s="1" t="s">
        <v>93</v>
      </c>
      <c r="E38" s="1" t="s">
        <v>94</v>
      </c>
      <c r="F38" s="1" t="s">
        <v>95</v>
      </c>
      <c r="G38" s="1" t="s">
        <v>24</v>
      </c>
      <c r="H38" s="1" t="n">
        <v>1.99</v>
      </c>
      <c r="I38" s="1" t="s">
        <v>96</v>
      </c>
      <c r="J38" s="1" t="s">
        <v>26</v>
      </c>
      <c r="K38" s="1" t="s">
        <v>27</v>
      </c>
      <c r="L38" s="1" t="s">
        <v>97</v>
      </c>
      <c r="M38" s="1" t="s">
        <v>98</v>
      </c>
      <c r="N38" s="1" t="s">
        <v>99</v>
      </c>
      <c r="O38" s="2" t="n">
        <v>429</v>
      </c>
      <c r="P38" s="2" t="n">
        <f aca="false">O38/H38</f>
        <v>215.577889447236</v>
      </c>
      <c r="Q38" s="3" t="n">
        <f aca="false">(R38/P38-1)*-1</f>
        <v>0.16967365967366</v>
      </c>
      <c r="R38" s="2" t="n">
        <v>179</v>
      </c>
      <c r="S38" s="2" t="n">
        <v>169</v>
      </c>
    </row>
    <row r="39" customFormat="false" ht="14" hidden="false" customHeight="false" outlineLevel="0" collapsed="false">
      <c r="A39" s="1" t="s">
        <v>92</v>
      </c>
      <c r="B39" s="1" t="s">
        <v>20</v>
      </c>
      <c r="C39" s="1" t="s">
        <v>21</v>
      </c>
      <c r="D39" s="1" t="s">
        <v>93</v>
      </c>
      <c r="E39" s="11" t="s">
        <v>100</v>
      </c>
      <c r="F39" s="1" t="s">
        <v>101</v>
      </c>
      <c r="G39" s="1" t="s">
        <v>24</v>
      </c>
      <c r="H39" s="1" t="n">
        <v>1.99</v>
      </c>
      <c r="I39" s="1" t="s">
        <v>96</v>
      </c>
      <c r="J39" s="1" t="s">
        <v>26</v>
      </c>
      <c r="K39" s="1" t="s">
        <v>27</v>
      </c>
      <c r="M39" s="1" t="s">
        <v>98</v>
      </c>
      <c r="N39" s="1" t="s">
        <v>30</v>
      </c>
      <c r="O39" s="2" t="n">
        <v>429</v>
      </c>
      <c r="P39" s="2" t="n">
        <f aca="false">O39/H39</f>
        <v>215.577889447236</v>
      </c>
      <c r="Q39" s="3" t="n">
        <f aca="false">(R39/P39-1)*-1</f>
        <v>0.16967365967366</v>
      </c>
      <c r="R39" s="2" t="n">
        <v>179</v>
      </c>
      <c r="S39" s="2" t="n">
        <v>159</v>
      </c>
    </row>
    <row r="40" customFormat="false" ht="14" hidden="false" customHeight="false" outlineLevel="0" collapsed="false">
      <c r="A40" s="1" t="s">
        <v>92</v>
      </c>
      <c r="B40" s="1" t="s">
        <v>20</v>
      </c>
      <c r="C40" s="1" t="s">
        <v>21</v>
      </c>
      <c r="D40" s="1" t="s">
        <v>93</v>
      </c>
      <c r="E40" s="1" t="s">
        <v>102</v>
      </c>
      <c r="F40" s="1" t="s">
        <v>103</v>
      </c>
      <c r="G40" s="1" t="s">
        <v>24</v>
      </c>
      <c r="H40" s="1" t="n">
        <v>1.8</v>
      </c>
      <c r="I40" s="1" t="s">
        <v>104</v>
      </c>
      <c r="J40" s="1" t="s">
        <v>26</v>
      </c>
      <c r="K40" s="1" t="s">
        <v>42</v>
      </c>
      <c r="L40" s="1" t="s">
        <v>28</v>
      </c>
      <c r="M40" s="1" t="s">
        <v>29</v>
      </c>
      <c r="N40" s="1" t="s">
        <v>30</v>
      </c>
      <c r="O40" s="2" t="n">
        <v>409</v>
      </c>
      <c r="P40" s="2" t="n">
        <f aca="false">O40/H40</f>
        <v>227.222222222222</v>
      </c>
      <c r="Q40" s="3" t="n">
        <f aca="false">(R40/P40-1)*-1</f>
        <v>0.185819070904645</v>
      </c>
      <c r="R40" s="2" t="n">
        <v>185</v>
      </c>
      <c r="S40" s="2" t="n">
        <v>0</v>
      </c>
    </row>
    <row r="41" customFormat="false" ht="14" hidden="false" customHeight="false" outlineLevel="0" collapsed="false">
      <c r="A41" s="1" t="s">
        <v>92</v>
      </c>
      <c r="B41" s="1" t="s">
        <v>20</v>
      </c>
      <c r="C41" s="1" t="s">
        <v>21</v>
      </c>
      <c r="D41" s="1" t="s">
        <v>93</v>
      </c>
      <c r="E41" s="1" t="s">
        <v>105</v>
      </c>
      <c r="F41" s="1" t="s">
        <v>106</v>
      </c>
      <c r="G41" s="1" t="s">
        <v>24</v>
      </c>
      <c r="H41" s="1" t="n">
        <v>1.8</v>
      </c>
      <c r="I41" s="1" t="s">
        <v>104</v>
      </c>
      <c r="J41" s="1" t="s">
        <v>26</v>
      </c>
      <c r="K41" s="1" t="s">
        <v>42</v>
      </c>
      <c r="L41" s="1" t="s">
        <v>32</v>
      </c>
      <c r="M41" s="1" t="s">
        <v>29</v>
      </c>
      <c r="N41" s="1" t="s">
        <v>30</v>
      </c>
      <c r="O41" s="2" t="n">
        <v>409</v>
      </c>
      <c r="P41" s="2" t="n">
        <f aca="false">O41/H41</f>
        <v>227.222222222222</v>
      </c>
      <c r="Q41" s="3" t="n">
        <f aca="false">(R41/P41-1)*-1</f>
        <v>0.185819070904645</v>
      </c>
      <c r="R41" s="2" t="n">
        <v>185</v>
      </c>
    </row>
    <row r="42" customFormat="false" ht="14" hidden="false" customHeight="false" outlineLevel="0" collapsed="false">
      <c r="A42" s="1" t="s">
        <v>19</v>
      </c>
      <c r="B42" s="1" t="s">
        <v>20</v>
      </c>
      <c r="C42" s="1" t="s">
        <v>21</v>
      </c>
      <c r="D42" s="1" t="s">
        <v>22</v>
      </c>
      <c r="E42" s="10" t="n">
        <v>522125413496351</v>
      </c>
      <c r="F42" s="1" t="s">
        <v>107</v>
      </c>
      <c r="G42" s="1" t="s">
        <v>24</v>
      </c>
      <c r="H42" s="1" t="n">
        <v>1.64</v>
      </c>
      <c r="I42" s="1" t="s">
        <v>69</v>
      </c>
      <c r="J42" s="1" t="s">
        <v>26</v>
      </c>
      <c r="K42" s="1" t="s">
        <v>58</v>
      </c>
      <c r="L42" s="1" t="s">
        <v>28</v>
      </c>
      <c r="M42" s="1" t="s">
        <v>29</v>
      </c>
      <c r="N42" s="1" t="s">
        <v>30</v>
      </c>
      <c r="O42" s="2" t="n">
        <v>449</v>
      </c>
      <c r="P42" s="2" t="n">
        <f aca="false">O42/H42</f>
        <v>273.780487804878</v>
      </c>
      <c r="Q42" s="3" t="n">
        <f aca="false">(R42/P42-1)*-1</f>
        <v>0.309665924276169</v>
      </c>
      <c r="R42" s="2" t="n">
        <v>189</v>
      </c>
      <c r="S42" s="2" t="n">
        <v>0</v>
      </c>
    </row>
    <row r="43" customFormat="false" ht="14" hidden="false" customHeight="false" outlineLevel="0" collapsed="false">
      <c r="A43" s="1" t="s">
        <v>92</v>
      </c>
      <c r="B43" s="1" t="s">
        <v>20</v>
      </c>
      <c r="C43" s="1" t="s">
        <v>21</v>
      </c>
      <c r="D43" s="1" t="s">
        <v>93</v>
      </c>
      <c r="E43" s="1" t="s">
        <v>108</v>
      </c>
      <c r="F43" s="1" t="s">
        <v>109</v>
      </c>
      <c r="G43" s="1" t="s">
        <v>24</v>
      </c>
      <c r="H43" s="1" t="n">
        <v>1.89</v>
      </c>
      <c r="I43" s="1" t="s">
        <v>110</v>
      </c>
      <c r="J43" s="1" t="s">
        <v>26</v>
      </c>
      <c r="K43" s="1" t="s">
        <v>58</v>
      </c>
      <c r="L43" s="1" t="s">
        <v>59</v>
      </c>
      <c r="M43" s="1" t="s">
        <v>29</v>
      </c>
      <c r="N43" s="1" t="s">
        <v>30</v>
      </c>
      <c r="O43" s="2" t="n">
        <v>429</v>
      </c>
      <c r="P43" s="2" t="n">
        <f aca="false">O43/H43</f>
        <v>226.984126984127</v>
      </c>
      <c r="Q43" s="3" t="n">
        <f aca="false">(R43/P43-1)*-1</f>
        <v>0.211398601398601</v>
      </c>
      <c r="R43" s="2" t="n">
        <v>179</v>
      </c>
      <c r="S43" s="2" t="n">
        <v>169</v>
      </c>
    </row>
    <row r="44" customFormat="false" ht="14" hidden="false" customHeight="false" outlineLevel="0" collapsed="false">
      <c r="A44" s="1" t="s">
        <v>92</v>
      </c>
      <c r="B44" s="1" t="s">
        <v>20</v>
      </c>
      <c r="C44" s="1" t="s">
        <v>21</v>
      </c>
      <c r="D44" s="1" t="s">
        <v>93</v>
      </c>
      <c r="E44" s="1" t="s">
        <v>111</v>
      </c>
      <c r="F44" s="1" t="s">
        <v>112</v>
      </c>
      <c r="G44" s="1" t="s">
        <v>24</v>
      </c>
      <c r="H44" s="1" t="n">
        <v>1.89</v>
      </c>
      <c r="I44" s="1" t="s">
        <v>110</v>
      </c>
      <c r="J44" s="1" t="s">
        <v>26</v>
      </c>
      <c r="K44" s="1" t="s">
        <v>58</v>
      </c>
      <c r="L44" s="1" t="s">
        <v>59</v>
      </c>
      <c r="M44" s="1" t="s">
        <v>29</v>
      </c>
      <c r="N44" s="1" t="s">
        <v>30</v>
      </c>
      <c r="O44" s="2" t="n">
        <v>429</v>
      </c>
      <c r="P44" s="2" t="n">
        <f aca="false">O44/H44</f>
        <v>226.984126984127</v>
      </c>
      <c r="Q44" s="3" t="n">
        <f aca="false">(R44/P44-1)*-1</f>
        <v>0.167342657342657</v>
      </c>
      <c r="R44" s="2" t="n">
        <v>189</v>
      </c>
      <c r="S44" s="2" t="n">
        <v>179</v>
      </c>
    </row>
    <row r="45" customFormat="false" ht="14" hidden="false" customHeight="false" outlineLevel="0" collapsed="false">
      <c r="A45" s="1" t="s">
        <v>92</v>
      </c>
      <c r="B45" s="1" t="s">
        <v>20</v>
      </c>
      <c r="C45" s="1" t="s">
        <v>21</v>
      </c>
      <c r="D45" s="1" t="s">
        <v>93</v>
      </c>
      <c r="E45" s="1" t="s">
        <v>113</v>
      </c>
      <c r="F45" s="1" t="s">
        <v>114</v>
      </c>
      <c r="G45" s="1" t="s">
        <v>24</v>
      </c>
      <c r="H45" s="1" t="n">
        <v>1.89</v>
      </c>
      <c r="I45" s="1" t="s">
        <v>110</v>
      </c>
      <c r="J45" s="1" t="s">
        <v>26</v>
      </c>
      <c r="K45" s="1" t="s">
        <v>58</v>
      </c>
      <c r="L45" s="1" t="s">
        <v>32</v>
      </c>
      <c r="M45" s="1" t="s">
        <v>29</v>
      </c>
      <c r="N45" s="1" t="s">
        <v>30</v>
      </c>
      <c r="O45" s="2" t="n">
        <v>429</v>
      </c>
      <c r="P45" s="2" t="n">
        <f aca="false">O45/H45</f>
        <v>226.984126984127</v>
      </c>
      <c r="Q45" s="3" t="n">
        <f aca="false">(R45/P45-1)*-1</f>
        <v>0.167342657342657</v>
      </c>
      <c r="R45" s="2" t="n">
        <v>189</v>
      </c>
      <c r="S45" s="2" t="n">
        <v>179</v>
      </c>
    </row>
    <row r="46" customFormat="false" ht="14" hidden="false" customHeight="false" outlineLevel="0" collapsed="false">
      <c r="A46" s="1" t="s">
        <v>92</v>
      </c>
      <c r="B46" s="1" t="s">
        <v>20</v>
      </c>
      <c r="C46" s="1" t="s">
        <v>21</v>
      </c>
      <c r="D46" s="1" t="s">
        <v>93</v>
      </c>
      <c r="E46" s="1" t="s">
        <v>115</v>
      </c>
      <c r="F46" s="1" t="s">
        <v>116</v>
      </c>
      <c r="G46" s="1" t="s">
        <v>24</v>
      </c>
      <c r="H46" s="1" t="n">
        <v>1.89</v>
      </c>
      <c r="I46" s="1" t="s">
        <v>110</v>
      </c>
      <c r="J46" s="1" t="s">
        <v>26</v>
      </c>
      <c r="K46" s="1" t="s">
        <v>58</v>
      </c>
      <c r="L46" s="1" t="s">
        <v>59</v>
      </c>
      <c r="M46" s="1" t="s">
        <v>29</v>
      </c>
      <c r="N46" s="1" t="s">
        <v>30</v>
      </c>
      <c r="O46" s="2" t="n">
        <v>429</v>
      </c>
      <c r="P46" s="2" t="n">
        <f aca="false">O46/H46</f>
        <v>226.984126984127</v>
      </c>
      <c r="Q46" s="3" t="n">
        <f aca="false">(R46/P46-1)*-1</f>
        <v>0.211398601398601</v>
      </c>
      <c r="R46" s="2" t="n">
        <v>179</v>
      </c>
      <c r="S46" s="2" t="n">
        <v>169</v>
      </c>
    </row>
    <row r="47" customFormat="false" ht="14" hidden="false" customHeight="false" outlineLevel="0" collapsed="false">
      <c r="A47" s="1" t="s">
        <v>92</v>
      </c>
      <c r="B47" s="1" t="s">
        <v>20</v>
      </c>
      <c r="C47" s="1" t="s">
        <v>21</v>
      </c>
      <c r="D47" s="1" t="s">
        <v>93</v>
      </c>
      <c r="E47" s="1" t="s">
        <v>117</v>
      </c>
      <c r="F47" s="1" t="s">
        <v>118</v>
      </c>
      <c r="G47" s="1" t="s">
        <v>24</v>
      </c>
      <c r="H47" s="1" t="n">
        <v>1.89</v>
      </c>
      <c r="I47" s="1" t="s">
        <v>110</v>
      </c>
      <c r="J47" s="1" t="s">
        <v>26</v>
      </c>
      <c r="K47" s="1" t="s">
        <v>58</v>
      </c>
      <c r="L47" s="1" t="s">
        <v>59</v>
      </c>
      <c r="M47" s="1" t="s">
        <v>29</v>
      </c>
      <c r="N47" s="1" t="s">
        <v>30</v>
      </c>
      <c r="O47" s="2" t="n">
        <v>409</v>
      </c>
      <c r="P47" s="2" t="n">
        <f aca="false">O47/H47</f>
        <v>216.402116402116</v>
      </c>
      <c r="Q47" s="3" t="n">
        <f aca="false">(R47/P47-1)*-1</f>
        <v>0.219046454767726</v>
      </c>
      <c r="R47" s="2" t="n">
        <v>169</v>
      </c>
      <c r="S47" s="2" t="n">
        <v>159</v>
      </c>
    </row>
    <row r="48" customFormat="false" ht="14" hidden="false" customHeight="false" outlineLevel="0" collapsed="false">
      <c r="A48" s="1" t="s">
        <v>45</v>
      </c>
      <c r="B48" s="1" t="s">
        <v>20</v>
      </c>
      <c r="C48" s="1" t="s">
        <v>21</v>
      </c>
      <c r="D48" s="1" t="s">
        <v>46</v>
      </c>
      <c r="E48" s="1" t="s">
        <v>119</v>
      </c>
      <c r="F48" s="1" t="s">
        <v>120</v>
      </c>
      <c r="G48" s="1" t="s">
        <v>24</v>
      </c>
      <c r="H48" s="1" t="n">
        <v>1.08</v>
      </c>
      <c r="I48" s="1" t="s">
        <v>121</v>
      </c>
      <c r="J48" s="1" t="s">
        <v>26</v>
      </c>
      <c r="K48" s="1" t="s">
        <v>58</v>
      </c>
      <c r="L48" s="1" t="s">
        <v>28</v>
      </c>
      <c r="M48" s="1" t="s">
        <v>29</v>
      </c>
      <c r="N48" s="1" t="s">
        <v>30</v>
      </c>
      <c r="O48" s="2" t="n">
        <v>239</v>
      </c>
      <c r="P48" s="2" t="n">
        <f aca="false">O48/H48</f>
        <v>221.296296296296</v>
      </c>
      <c r="Q48" s="3" t="n">
        <f aca="false">(R48/P48-1)*-1</f>
        <v>0.145941422594142</v>
      </c>
      <c r="R48" s="2" t="n">
        <v>189</v>
      </c>
      <c r="S48" s="2" t="n">
        <f aca="false">R48-10</f>
        <v>179</v>
      </c>
    </row>
    <row r="49" customFormat="false" ht="14" hidden="false" customHeight="false" outlineLevel="0" collapsed="false">
      <c r="A49" s="1" t="s">
        <v>45</v>
      </c>
      <c r="B49" s="1" t="s">
        <v>20</v>
      </c>
      <c r="C49" s="1" t="s">
        <v>21</v>
      </c>
      <c r="D49" s="1" t="s">
        <v>46</v>
      </c>
      <c r="E49" s="1" t="s">
        <v>122</v>
      </c>
      <c r="F49" s="1" t="s">
        <v>123</v>
      </c>
      <c r="G49" s="1" t="s">
        <v>24</v>
      </c>
      <c r="H49" s="1" t="n">
        <v>1.08</v>
      </c>
      <c r="I49" s="1" t="s">
        <v>121</v>
      </c>
      <c r="J49" s="1" t="s">
        <v>26</v>
      </c>
      <c r="K49" s="1" t="s">
        <v>58</v>
      </c>
      <c r="L49" s="1" t="s">
        <v>28</v>
      </c>
      <c r="M49" s="1" t="s">
        <v>29</v>
      </c>
      <c r="N49" s="1" t="s">
        <v>30</v>
      </c>
      <c r="O49" s="2" t="n">
        <v>259</v>
      </c>
      <c r="P49" s="2" t="n">
        <f aca="false">O49/H49</f>
        <v>239.814814814815</v>
      </c>
      <c r="Q49" s="3" t="n">
        <f aca="false">(R49/P49-1)*-1</f>
        <v>0.211891891891892</v>
      </c>
      <c r="R49" s="2" t="n">
        <v>189</v>
      </c>
      <c r="S49" s="2" t="n">
        <f aca="false">R49-10</f>
        <v>179</v>
      </c>
    </row>
    <row r="50" customFormat="false" ht="14" hidden="false" customHeight="false" outlineLevel="0" collapsed="false">
      <c r="A50" s="1" t="s">
        <v>45</v>
      </c>
      <c r="B50" s="1" t="s">
        <v>20</v>
      </c>
      <c r="C50" s="1" t="s">
        <v>21</v>
      </c>
      <c r="D50" s="1" t="s">
        <v>46</v>
      </c>
      <c r="E50" s="1" t="s">
        <v>124</v>
      </c>
      <c r="F50" s="1" t="s">
        <v>125</v>
      </c>
      <c r="G50" s="1" t="s">
        <v>24</v>
      </c>
      <c r="H50" s="1" t="n">
        <v>1.64</v>
      </c>
      <c r="I50" s="1" t="s">
        <v>126</v>
      </c>
      <c r="J50" s="1" t="s">
        <v>26</v>
      </c>
      <c r="K50" s="1" t="s">
        <v>58</v>
      </c>
      <c r="L50" s="1" t="s">
        <v>28</v>
      </c>
      <c r="M50" s="1" t="s">
        <v>29</v>
      </c>
      <c r="N50" s="1" t="s">
        <v>30</v>
      </c>
      <c r="O50" s="2" t="n">
        <v>549</v>
      </c>
      <c r="P50" s="2" t="n">
        <f aca="false">O50/H50</f>
        <v>334.756097560976</v>
      </c>
      <c r="Q50" s="3" t="n">
        <f aca="false">(R50/P50-1)*-1</f>
        <v>0.435409836065574</v>
      </c>
      <c r="R50" s="2" t="n">
        <v>189</v>
      </c>
      <c r="S50" s="2" t="n">
        <f aca="false">R50-10</f>
        <v>179</v>
      </c>
    </row>
    <row r="51" customFormat="false" ht="14" hidden="false" customHeight="false" outlineLevel="0" collapsed="false">
      <c r="A51" s="1" t="s">
        <v>45</v>
      </c>
      <c r="B51" s="1" t="s">
        <v>20</v>
      </c>
      <c r="C51" s="1" t="s">
        <v>21</v>
      </c>
      <c r="D51" s="1" t="s">
        <v>46</v>
      </c>
      <c r="E51" s="1" t="s">
        <v>127</v>
      </c>
      <c r="F51" s="1" t="s">
        <v>128</v>
      </c>
      <c r="G51" s="1" t="s">
        <v>24</v>
      </c>
      <c r="H51" s="1" t="n">
        <v>1.64</v>
      </c>
      <c r="I51" s="1" t="s">
        <v>126</v>
      </c>
      <c r="J51" s="1" t="s">
        <v>26</v>
      </c>
      <c r="K51" s="1" t="s">
        <v>58</v>
      </c>
      <c r="L51" s="1" t="s">
        <v>32</v>
      </c>
      <c r="M51" s="1" t="s">
        <v>29</v>
      </c>
      <c r="N51" s="1" t="s">
        <v>30</v>
      </c>
      <c r="O51" s="2" t="n">
        <v>399</v>
      </c>
      <c r="P51" s="2" t="n">
        <f aca="false">O51/H51</f>
        <v>243.292682926829</v>
      </c>
      <c r="Q51" s="3" t="n">
        <f aca="false">(R51/P51-1)*-1</f>
        <v>0.223157894736842</v>
      </c>
      <c r="R51" s="2" t="n">
        <v>189</v>
      </c>
      <c r="S51" s="2" t="n">
        <f aca="false">R51-10</f>
        <v>179</v>
      </c>
    </row>
    <row r="52" customFormat="false" ht="14" hidden="false" customHeight="false" outlineLevel="0" collapsed="false">
      <c r="A52" s="1" t="s">
        <v>92</v>
      </c>
      <c r="B52" s="1" t="s">
        <v>20</v>
      </c>
      <c r="C52" s="1" t="s">
        <v>21</v>
      </c>
      <c r="D52" s="1" t="s">
        <v>93</v>
      </c>
      <c r="E52" s="1" t="s">
        <v>129</v>
      </c>
      <c r="F52" s="1" t="s">
        <v>130</v>
      </c>
      <c r="G52" s="1" t="s">
        <v>24</v>
      </c>
      <c r="H52" s="1" t="n">
        <v>1.89</v>
      </c>
      <c r="I52" s="1" t="s">
        <v>110</v>
      </c>
      <c r="J52" s="1" t="s">
        <v>26</v>
      </c>
      <c r="K52" s="1" t="s">
        <v>58</v>
      </c>
      <c r="L52" s="1" t="s">
        <v>131</v>
      </c>
      <c r="M52" s="1" t="s">
        <v>29</v>
      </c>
      <c r="N52" s="1" t="s">
        <v>30</v>
      </c>
      <c r="O52" s="2" t="n">
        <v>409</v>
      </c>
      <c r="P52" s="2" t="n">
        <f aca="false">O52/H52</f>
        <v>216.402116402116</v>
      </c>
      <c r="Q52" s="3" t="n">
        <f aca="false">(R52/P52-1)*-1</f>
        <v>0.172836185819071</v>
      </c>
      <c r="R52" s="2" t="n">
        <v>179</v>
      </c>
      <c r="S52" s="2" t="n">
        <v>169</v>
      </c>
    </row>
    <row r="53" customFormat="false" ht="14" hidden="false" customHeight="false" outlineLevel="0" collapsed="false">
      <c r="A53" s="1" t="s">
        <v>92</v>
      </c>
      <c r="B53" s="1" t="s">
        <v>20</v>
      </c>
      <c r="C53" s="1" t="s">
        <v>21</v>
      </c>
      <c r="D53" s="1" t="s">
        <v>93</v>
      </c>
      <c r="E53" s="1" t="s">
        <v>132</v>
      </c>
      <c r="F53" s="1" t="s">
        <v>133</v>
      </c>
      <c r="G53" s="1" t="s">
        <v>24</v>
      </c>
      <c r="H53" s="1" t="n">
        <v>1.89</v>
      </c>
      <c r="I53" s="1" t="s">
        <v>110</v>
      </c>
      <c r="J53" s="1" t="s">
        <v>26</v>
      </c>
      <c r="K53" s="1" t="s">
        <v>58</v>
      </c>
      <c r="L53" s="1" t="s">
        <v>59</v>
      </c>
      <c r="M53" s="1" t="s">
        <v>29</v>
      </c>
      <c r="N53" s="1" t="s">
        <v>30</v>
      </c>
      <c r="O53" s="2" t="n">
        <v>409</v>
      </c>
      <c r="P53" s="2" t="n">
        <f aca="false">O53/H53</f>
        <v>216.402116402116</v>
      </c>
      <c r="Q53" s="3" t="n">
        <f aca="false">(R53/P53-1)*-1</f>
        <v>0.219046454767726</v>
      </c>
      <c r="R53" s="2" t="n">
        <v>169</v>
      </c>
      <c r="S53" s="2" t="n">
        <v>159</v>
      </c>
    </row>
    <row r="54" customFormat="false" ht="14" hidden="false" customHeight="false" outlineLevel="0" collapsed="false">
      <c r="A54" s="1" t="s">
        <v>92</v>
      </c>
      <c r="B54" s="1" t="s">
        <v>20</v>
      </c>
      <c r="C54" s="1" t="s">
        <v>21</v>
      </c>
      <c r="D54" s="1" t="s">
        <v>93</v>
      </c>
      <c r="E54" s="1" t="s">
        <v>134</v>
      </c>
      <c r="F54" s="1" t="s">
        <v>135</v>
      </c>
      <c r="G54" s="1" t="s">
        <v>24</v>
      </c>
      <c r="H54" s="1" t="n">
        <v>1.89</v>
      </c>
      <c r="I54" s="1" t="s">
        <v>110</v>
      </c>
      <c r="J54" s="1" t="s">
        <v>26</v>
      </c>
      <c r="K54" s="1" t="s">
        <v>58</v>
      </c>
      <c r="L54" s="1" t="s">
        <v>32</v>
      </c>
      <c r="M54" s="1" t="s">
        <v>29</v>
      </c>
      <c r="N54" s="1" t="s">
        <v>30</v>
      </c>
      <c r="O54" s="2" t="n">
        <v>429</v>
      </c>
      <c r="P54" s="2" t="n">
        <f aca="false">O54/H54</f>
        <v>226.984126984127</v>
      </c>
      <c r="Q54" s="3" t="n">
        <f aca="false">(R54/P54-1)*-1</f>
        <v>0.167342657342657</v>
      </c>
      <c r="R54" s="2" t="n">
        <v>189</v>
      </c>
      <c r="S54" s="2" t="n">
        <v>169</v>
      </c>
    </row>
    <row r="55" customFormat="false" ht="14" hidden="false" customHeight="false" outlineLevel="0" collapsed="false">
      <c r="A55" s="1" t="s">
        <v>92</v>
      </c>
      <c r="B55" s="1" t="s">
        <v>20</v>
      </c>
      <c r="C55" s="1" t="s">
        <v>21</v>
      </c>
      <c r="D55" s="1" t="s">
        <v>93</v>
      </c>
      <c r="E55" s="1" t="s">
        <v>136</v>
      </c>
      <c r="F55" s="1" t="s">
        <v>137</v>
      </c>
      <c r="G55" s="1" t="s">
        <v>24</v>
      </c>
      <c r="H55" s="1" t="n">
        <v>1.89</v>
      </c>
      <c r="I55" s="1" t="s">
        <v>110</v>
      </c>
      <c r="J55" s="1" t="s">
        <v>26</v>
      </c>
      <c r="K55" s="1" t="s">
        <v>58</v>
      </c>
      <c r="L55" s="1" t="s">
        <v>59</v>
      </c>
      <c r="M55" s="1" t="s">
        <v>29</v>
      </c>
      <c r="N55" s="1" t="s">
        <v>30</v>
      </c>
      <c r="O55" s="2" t="n">
        <v>429</v>
      </c>
      <c r="P55" s="2" t="n">
        <f aca="false">O55/H55</f>
        <v>226.984126984127</v>
      </c>
      <c r="Q55" s="3" t="n">
        <f aca="false">(R55/P55-1)*-1</f>
        <v>0.167342657342657</v>
      </c>
      <c r="R55" s="2" t="n">
        <v>189</v>
      </c>
      <c r="S55" s="2" t="n">
        <v>169</v>
      </c>
    </row>
    <row r="56" customFormat="false" ht="14" hidden="false" customHeight="false" outlineLevel="0" collapsed="false">
      <c r="A56" s="1" t="s">
        <v>45</v>
      </c>
      <c r="B56" s="1" t="s">
        <v>20</v>
      </c>
      <c r="C56" s="1" t="s">
        <v>21</v>
      </c>
      <c r="D56" s="1" t="s">
        <v>46</v>
      </c>
      <c r="E56" s="1" t="s">
        <v>138</v>
      </c>
      <c r="F56" s="1" t="s">
        <v>139</v>
      </c>
      <c r="G56" s="1" t="s">
        <v>24</v>
      </c>
      <c r="H56" s="1" t="n">
        <v>1.63</v>
      </c>
      <c r="I56" s="1" t="s">
        <v>85</v>
      </c>
      <c r="J56" s="1" t="s">
        <v>26</v>
      </c>
      <c r="K56" s="1" t="s">
        <v>27</v>
      </c>
      <c r="L56" s="1" t="s">
        <v>28</v>
      </c>
      <c r="M56" s="1" t="s">
        <v>43</v>
      </c>
      <c r="N56" s="1" t="s">
        <v>30</v>
      </c>
      <c r="O56" s="2" t="n">
        <v>379</v>
      </c>
      <c r="P56" s="2" t="n">
        <f aca="false">O56/H56</f>
        <v>232.515337423313</v>
      </c>
      <c r="Q56" s="3" t="n">
        <f aca="false">(R56/P56-1)*-1</f>
        <v>0.187150395778364</v>
      </c>
      <c r="R56" s="2" t="n">
        <v>189</v>
      </c>
      <c r="S56" s="2" t="n">
        <f aca="false">R56-10</f>
        <v>179</v>
      </c>
    </row>
    <row r="57" customFormat="false" ht="14" hidden="false" customHeight="false" outlineLevel="0" collapsed="false">
      <c r="A57" s="1" t="s">
        <v>45</v>
      </c>
      <c r="B57" s="1" t="s">
        <v>20</v>
      </c>
      <c r="C57" s="1" t="s">
        <v>21</v>
      </c>
      <c r="D57" s="1" t="s">
        <v>46</v>
      </c>
      <c r="E57" s="1" t="s">
        <v>140</v>
      </c>
      <c r="F57" s="1" t="s">
        <v>141</v>
      </c>
      <c r="G57" s="1" t="s">
        <v>24</v>
      </c>
      <c r="H57" s="1" t="n">
        <v>1.63</v>
      </c>
      <c r="I57" s="1" t="s">
        <v>85</v>
      </c>
      <c r="J57" s="1" t="s">
        <v>26</v>
      </c>
      <c r="K57" s="1" t="s">
        <v>27</v>
      </c>
      <c r="L57" s="1" t="s">
        <v>32</v>
      </c>
      <c r="M57" s="1" t="s">
        <v>43</v>
      </c>
      <c r="N57" s="1" t="s">
        <v>30</v>
      </c>
      <c r="O57" s="2" t="n">
        <v>379</v>
      </c>
      <c r="P57" s="2" t="n">
        <f aca="false">O57/H57</f>
        <v>232.515337423313</v>
      </c>
      <c r="Q57" s="3" t="n">
        <f aca="false">(R57/P57-1)*-1</f>
        <v>0.187150395778364</v>
      </c>
      <c r="R57" s="2" t="n">
        <v>189</v>
      </c>
      <c r="S57" s="2" t="n">
        <f aca="false">R57-10</f>
        <v>179</v>
      </c>
    </row>
    <row r="58" customFormat="false" ht="14" hidden="false" customHeight="false" outlineLevel="0" collapsed="false">
      <c r="A58" s="1" t="s">
        <v>45</v>
      </c>
      <c r="B58" s="1" t="s">
        <v>20</v>
      </c>
      <c r="C58" s="1" t="s">
        <v>21</v>
      </c>
      <c r="D58" s="1" t="s">
        <v>46</v>
      </c>
      <c r="E58" s="1" t="s">
        <v>142</v>
      </c>
      <c r="F58" s="1" t="s">
        <v>143</v>
      </c>
      <c r="G58" s="1" t="s">
        <v>24</v>
      </c>
      <c r="H58" s="1" t="n">
        <v>1.63</v>
      </c>
      <c r="I58" s="1" t="s">
        <v>85</v>
      </c>
      <c r="J58" s="1" t="s">
        <v>26</v>
      </c>
      <c r="K58" s="1" t="s">
        <v>27</v>
      </c>
      <c r="L58" s="1" t="s">
        <v>56</v>
      </c>
      <c r="M58" s="1" t="s">
        <v>43</v>
      </c>
      <c r="N58" s="1" t="s">
        <v>30</v>
      </c>
      <c r="O58" s="2" t="n">
        <v>379</v>
      </c>
      <c r="P58" s="2" t="n">
        <f aca="false">O58/H58</f>
        <v>232.515337423313</v>
      </c>
      <c r="Q58" s="3" t="n">
        <f aca="false">(R58/P58-1)*-1</f>
        <v>0.187150395778364</v>
      </c>
      <c r="R58" s="2" t="n">
        <v>189</v>
      </c>
      <c r="S58" s="2" t="n">
        <f aca="false">R58-10</f>
        <v>179</v>
      </c>
    </row>
    <row r="59" customFormat="false" ht="14" hidden="false" customHeight="false" outlineLevel="0" collapsed="false">
      <c r="A59" s="1" t="s">
        <v>92</v>
      </c>
      <c r="B59" s="1" t="s">
        <v>20</v>
      </c>
      <c r="C59" s="1" t="s">
        <v>21</v>
      </c>
      <c r="D59" s="1" t="s">
        <v>93</v>
      </c>
      <c r="E59" s="1" t="s">
        <v>144</v>
      </c>
      <c r="F59" s="1" t="s">
        <v>145</v>
      </c>
      <c r="G59" s="1" t="s">
        <v>24</v>
      </c>
      <c r="H59" s="1" t="n">
        <v>1.8</v>
      </c>
      <c r="I59" s="1" t="s">
        <v>104</v>
      </c>
      <c r="J59" s="1" t="s">
        <v>26</v>
      </c>
      <c r="K59" s="1" t="s">
        <v>42</v>
      </c>
      <c r="L59" s="1" t="s">
        <v>28</v>
      </c>
      <c r="M59" s="1" t="s">
        <v>29</v>
      </c>
      <c r="N59" s="1" t="s">
        <v>30</v>
      </c>
      <c r="O59" s="2" t="n">
        <v>409</v>
      </c>
      <c r="P59" s="2" t="n">
        <f aca="false">O59/H59</f>
        <v>227.222222222222</v>
      </c>
      <c r="Q59" s="3" t="n">
        <f aca="false">(R59/P59-1)*-1</f>
        <v>0.168215158924205</v>
      </c>
      <c r="R59" s="2" t="n">
        <v>189</v>
      </c>
      <c r="S59" s="2" t="n">
        <v>179</v>
      </c>
    </row>
    <row r="60" customFormat="false" ht="14" hidden="false" customHeight="false" outlineLevel="0" collapsed="false">
      <c r="A60" s="1" t="s">
        <v>19</v>
      </c>
      <c r="B60" s="1" t="s">
        <v>20</v>
      </c>
      <c r="C60" s="1" t="s">
        <v>21</v>
      </c>
      <c r="D60" s="1" t="s">
        <v>22</v>
      </c>
      <c r="E60" s="10" t="n">
        <v>520256251026151</v>
      </c>
      <c r="F60" s="1" t="s">
        <v>146</v>
      </c>
      <c r="G60" s="1" t="s">
        <v>24</v>
      </c>
      <c r="H60" s="1" t="n">
        <v>1.53</v>
      </c>
      <c r="I60" s="1" t="s">
        <v>147</v>
      </c>
      <c r="J60" s="1" t="s">
        <v>26</v>
      </c>
      <c r="K60" s="1" t="s">
        <v>27</v>
      </c>
      <c r="L60" s="1" t="s">
        <v>28</v>
      </c>
      <c r="M60" s="1" t="s">
        <v>29</v>
      </c>
      <c r="N60" s="1" t="s">
        <v>30</v>
      </c>
      <c r="O60" s="2" t="n">
        <v>369</v>
      </c>
      <c r="P60" s="2" t="n">
        <f aca="false">O60/H60</f>
        <v>241.176470588235</v>
      </c>
      <c r="Q60" s="3" t="n">
        <f aca="false">(R60/P60-1)*-1</f>
        <v>0.174878048780488</v>
      </c>
      <c r="R60" s="2" t="n">
        <v>199</v>
      </c>
      <c r="S60" s="2" t="n">
        <v>0</v>
      </c>
    </row>
    <row r="61" customFormat="false" ht="14" hidden="false" customHeight="false" outlineLevel="0" collapsed="false">
      <c r="A61" s="1" t="s">
        <v>19</v>
      </c>
      <c r="B61" s="1" t="s">
        <v>20</v>
      </c>
      <c r="C61" s="1" t="s">
        <v>21</v>
      </c>
      <c r="D61" s="1" t="s">
        <v>22</v>
      </c>
      <c r="E61" s="10" t="n">
        <v>521821408011151</v>
      </c>
      <c r="F61" s="1" t="s">
        <v>148</v>
      </c>
      <c r="G61" s="1" t="s">
        <v>24</v>
      </c>
      <c r="H61" s="1" t="n">
        <v>1.53</v>
      </c>
      <c r="I61" s="1" t="s">
        <v>147</v>
      </c>
      <c r="J61" s="1" t="s">
        <v>26</v>
      </c>
      <c r="K61" s="1" t="s">
        <v>27</v>
      </c>
      <c r="L61" s="1" t="s">
        <v>32</v>
      </c>
      <c r="M61" s="1" t="s">
        <v>29</v>
      </c>
      <c r="N61" s="1" t="s">
        <v>30</v>
      </c>
      <c r="O61" s="2" t="n">
        <v>389</v>
      </c>
      <c r="P61" s="2" t="n">
        <f aca="false">O61/H61</f>
        <v>254.248366013072</v>
      </c>
      <c r="Q61" s="3" t="n">
        <f aca="false">(R61/P61-1)*-1</f>
        <v>0.217300771208226</v>
      </c>
      <c r="R61" s="2" t="n">
        <v>199</v>
      </c>
      <c r="S61" s="2" t="n">
        <v>0</v>
      </c>
    </row>
    <row r="62" customFormat="false" ht="14" hidden="false" customHeight="false" outlineLevel="0" collapsed="false">
      <c r="A62" s="1" t="s">
        <v>19</v>
      </c>
      <c r="B62" s="1" t="s">
        <v>20</v>
      </c>
      <c r="C62" s="1" t="s">
        <v>21</v>
      </c>
      <c r="D62" s="1" t="s">
        <v>22</v>
      </c>
      <c r="E62" s="10" t="n">
        <v>521106090564351</v>
      </c>
      <c r="F62" s="1" t="s">
        <v>149</v>
      </c>
      <c r="G62" s="1" t="s">
        <v>24</v>
      </c>
      <c r="H62" s="1" t="n">
        <v>1.62</v>
      </c>
      <c r="I62" s="1" t="s">
        <v>85</v>
      </c>
      <c r="J62" s="1" t="s">
        <v>26</v>
      </c>
      <c r="K62" s="1" t="s">
        <v>42</v>
      </c>
      <c r="L62" s="1" t="s">
        <v>63</v>
      </c>
      <c r="M62" s="1" t="s">
        <v>29</v>
      </c>
      <c r="N62" s="1" t="s">
        <v>30</v>
      </c>
      <c r="O62" s="2" t="n">
        <v>389</v>
      </c>
      <c r="P62" s="2" t="n">
        <f aca="false">O62/H62</f>
        <v>240.123456790123</v>
      </c>
      <c r="Q62" s="3" t="n">
        <f aca="false">(R62/P62-1)*-1</f>
        <v>0.171259640102828</v>
      </c>
      <c r="R62" s="2" t="n">
        <v>199</v>
      </c>
      <c r="S62" s="2" t="n">
        <v>0</v>
      </c>
    </row>
    <row r="63" customFormat="false" ht="14" hidden="false" customHeight="false" outlineLevel="0" collapsed="false">
      <c r="A63" s="1" t="s">
        <v>19</v>
      </c>
      <c r="B63" s="1" t="s">
        <v>20</v>
      </c>
      <c r="C63" s="1" t="s">
        <v>21</v>
      </c>
      <c r="D63" s="1" t="s">
        <v>22</v>
      </c>
      <c r="E63" s="10" t="n">
        <v>521666090473021</v>
      </c>
      <c r="F63" s="1" t="s">
        <v>150</v>
      </c>
      <c r="G63" s="1" t="s">
        <v>24</v>
      </c>
      <c r="H63" s="1" t="n">
        <v>1.62</v>
      </c>
      <c r="I63" s="1" t="s">
        <v>85</v>
      </c>
      <c r="J63" s="1" t="s">
        <v>26</v>
      </c>
      <c r="K63" s="1" t="s">
        <v>42</v>
      </c>
      <c r="L63" s="1" t="s">
        <v>59</v>
      </c>
      <c r="M63" s="1" t="s">
        <v>29</v>
      </c>
      <c r="N63" s="1" t="s">
        <v>30</v>
      </c>
      <c r="O63" s="2" t="n">
        <v>389</v>
      </c>
      <c r="P63" s="2" t="n">
        <f aca="false">O63/H63</f>
        <v>240.123456790123</v>
      </c>
      <c r="Q63" s="3" t="n">
        <f aca="false">(R63/P63-1)*-1</f>
        <v>0.171259640102828</v>
      </c>
      <c r="R63" s="2" t="n">
        <v>199</v>
      </c>
      <c r="S63" s="2" t="n">
        <v>0</v>
      </c>
    </row>
    <row r="64" customFormat="false" ht="14" hidden="false" customHeight="false" outlineLevel="0" collapsed="false">
      <c r="A64" s="1" t="s">
        <v>19</v>
      </c>
      <c r="B64" s="1" t="s">
        <v>20</v>
      </c>
      <c r="C64" s="1" t="s">
        <v>21</v>
      </c>
      <c r="D64" s="1" t="s">
        <v>22</v>
      </c>
      <c r="E64" s="10" t="n">
        <v>522610090056021</v>
      </c>
      <c r="F64" s="1" t="s">
        <v>151</v>
      </c>
      <c r="G64" s="1" t="s">
        <v>24</v>
      </c>
      <c r="H64" s="1" t="n">
        <v>1.62</v>
      </c>
      <c r="I64" s="1" t="s">
        <v>85</v>
      </c>
      <c r="J64" s="1" t="s">
        <v>26</v>
      </c>
      <c r="K64" s="1" t="s">
        <v>42</v>
      </c>
      <c r="L64" s="1" t="s">
        <v>59</v>
      </c>
      <c r="M64" s="1" t="s">
        <v>29</v>
      </c>
      <c r="N64" s="1" t="s">
        <v>30</v>
      </c>
      <c r="O64" s="2" t="n">
        <v>409</v>
      </c>
      <c r="P64" s="2" t="n">
        <f aca="false">O64/H64</f>
        <v>252.469135802469</v>
      </c>
      <c r="Q64" s="3" t="n">
        <f aca="false">(R64/P64-1)*-1</f>
        <v>0.211784841075795</v>
      </c>
      <c r="R64" s="2" t="n">
        <v>199</v>
      </c>
      <c r="S64" s="2" t="n">
        <v>0</v>
      </c>
    </row>
    <row r="65" customFormat="false" ht="14" hidden="false" customHeight="false" outlineLevel="0" collapsed="false">
      <c r="A65" s="1" t="s">
        <v>19</v>
      </c>
      <c r="B65" s="1" t="s">
        <v>20</v>
      </c>
      <c r="C65" s="1" t="s">
        <v>21</v>
      </c>
      <c r="D65" s="1" t="s">
        <v>22</v>
      </c>
      <c r="E65" s="10" t="n">
        <v>522607279011201</v>
      </c>
      <c r="F65" s="1" t="s">
        <v>152</v>
      </c>
      <c r="G65" s="1" t="s">
        <v>24</v>
      </c>
      <c r="H65" s="1" t="n">
        <v>1.54</v>
      </c>
      <c r="I65" s="1" t="s">
        <v>153</v>
      </c>
      <c r="J65" s="1" t="s">
        <v>26</v>
      </c>
      <c r="K65" s="1" t="s">
        <v>154</v>
      </c>
      <c r="L65" s="1" t="s">
        <v>32</v>
      </c>
      <c r="M65" s="1" t="s">
        <v>29</v>
      </c>
      <c r="N65" s="1" t="s">
        <v>30</v>
      </c>
      <c r="O65" s="2" t="n">
        <v>369</v>
      </c>
      <c r="P65" s="2" t="n">
        <f aca="false">O65/H65</f>
        <v>239.61038961039</v>
      </c>
      <c r="Q65" s="3" t="n">
        <f aca="false">(R65/P65-1)*-1</f>
        <v>0.169485094850949</v>
      </c>
      <c r="R65" s="2" t="n">
        <v>199</v>
      </c>
      <c r="S65" s="2" t="n">
        <v>0</v>
      </c>
    </row>
    <row r="66" customFormat="false" ht="14" hidden="false" customHeight="false" outlineLevel="0" collapsed="false">
      <c r="A66" s="1" t="s">
        <v>92</v>
      </c>
      <c r="B66" s="1" t="s">
        <v>20</v>
      </c>
      <c r="C66" s="1" t="s">
        <v>21</v>
      </c>
      <c r="D66" s="1" t="s">
        <v>93</v>
      </c>
      <c r="E66" s="1" t="s">
        <v>155</v>
      </c>
      <c r="F66" s="1" t="s">
        <v>156</v>
      </c>
      <c r="G66" s="1" t="s">
        <v>24</v>
      </c>
      <c r="H66" s="1" t="n">
        <v>1.8</v>
      </c>
      <c r="I66" s="1" t="s">
        <v>104</v>
      </c>
      <c r="J66" s="1" t="s">
        <v>26</v>
      </c>
      <c r="K66" s="1" t="s">
        <v>42</v>
      </c>
      <c r="L66" s="1" t="s">
        <v>32</v>
      </c>
      <c r="M66" s="1" t="s">
        <v>29</v>
      </c>
      <c r="N66" s="1" t="s">
        <v>30</v>
      </c>
      <c r="O66" s="2" t="n">
        <v>409</v>
      </c>
      <c r="P66" s="2" t="n">
        <f aca="false">O66/H66</f>
        <v>227.222222222222</v>
      </c>
      <c r="Q66" s="3" t="n">
        <f aca="false">(R66/P66-1)*-1</f>
        <v>0.124205378973105</v>
      </c>
      <c r="R66" s="2" t="n">
        <v>199</v>
      </c>
      <c r="S66" s="2" t="n">
        <v>179</v>
      </c>
    </row>
    <row r="67" customFormat="false" ht="14" hidden="false" customHeight="false" outlineLevel="0" collapsed="false">
      <c r="A67" s="1" t="s">
        <v>92</v>
      </c>
      <c r="B67" s="1" t="s">
        <v>20</v>
      </c>
      <c r="C67" s="1" t="s">
        <v>21</v>
      </c>
      <c r="D67" s="1" t="s">
        <v>93</v>
      </c>
      <c r="E67" s="1" t="s">
        <v>157</v>
      </c>
      <c r="F67" s="1" t="s">
        <v>158</v>
      </c>
      <c r="G67" s="1" t="s">
        <v>24</v>
      </c>
      <c r="H67" s="1" t="n">
        <v>1.8</v>
      </c>
      <c r="I67" s="1" t="s">
        <v>104</v>
      </c>
      <c r="J67" s="1" t="s">
        <v>26</v>
      </c>
      <c r="K67" s="1" t="s">
        <v>42</v>
      </c>
      <c r="L67" s="1" t="s">
        <v>97</v>
      </c>
      <c r="M67" s="1" t="s">
        <v>29</v>
      </c>
      <c r="N67" s="1" t="s">
        <v>30</v>
      </c>
      <c r="O67" s="2" t="n">
        <v>409</v>
      </c>
      <c r="P67" s="2" t="n">
        <f aca="false">O67/H67</f>
        <v>227.222222222222</v>
      </c>
      <c r="Q67" s="3" t="n">
        <f aca="false">(R67/P67-1)*-1</f>
        <v>0.124205378973105</v>
      </c>
      <c r="R67" s="2" t="n">
        <v>199</v>
      </c>
      <c r="S67" s="2" t="n">
        <v>179</v>
      </c>
    </row>
    <row r="68" customFormat="false" ht="14" hidden="false" customHeight="false" outlineLevel="0" collapsed="false">
      <c r="A68" s="1" t="s">
        <v>92</v>
      </c>
      <c r="B68" s="1" t="s">
        <v>20</v>
      </c>
      <c r="C68" s="1" t="s">
        <v>21</v>
      </c>
      <c r="D68" s="1" t="s">
        <v>93</v>
      </c>
      <c r="E68" s="1" t="s">
        <v>159</v>
      </c>
      <c r="F68" s="1" t="s">
        <v>160</v>
      </c>
      <c r="G68" s="1" t="s">
        <v>24</v>
      </c>
      <c r="H68" s="1" t="n">
        <v>1.8</v>
      </c>
      <c r="I68" s="1" t="s">
        <v>104</v>
      </c>
      <c r="J68" s="1" t="s">
        <v>26</v>
      </c>
      <c r="K68" s="1" t="s">
        <v>27</v>
      </c>
      <c r="L68" s="1" t="s">
        <v>28</v>
      </c>
      <c r="M68" s="1" t="s">
        <v>29</v>
      </c>
      <c r="N68" s="1" t="s">
        <v>30</v>
      </c>
      <c r="O68" s="2" t="n">
        <v>409</v>
      </c>
      <c r="P68" s="2" t="n">
        <f aca="false">O68/H68</f>
        <v>227.222222222222</v>
      </c>
      <c r="Q68" s="3" t="n">
        <f aca="false">(R68/P68-1)*-1</f>
        <v>0.124205378973105</v>
      </c>
      <c r="R68" s="2" t="n">
        <v>199</v>
      </c>
      <c r="S68" s="2" t="n">
        <v>174</v>
      </c>
    </row>
    <row r="69" customFormat="false" ht="14" hidden="false" customHeight="false" outlineLevel="0" collapsed="false">
      <c r="A69" s="1" t="s">
        <v>92</v>
      </c>
      <c r="B69" s="1" t="s">
        <v>20</v>
      </c>
      <c r="C69" s="1" t="s">
        <v>21</v>
      </c>
      <c r="D69" s="1" t="s">
        <v>93</v>
      </c>
      <c r="E69" s="1" t="s">
        <v>161</v>
      </c>
      <c r="F69" s="1" t="s">
        <v>162</v>
      </c>
      <c r="G69" s="1" t="s">
        <v>24</v>
      </c>
      <c r="H69" s="1" t="n">
        <v>1.8</v>
      </c>
      <c r="I69" s="1" t="s">
        <v>104</v>
      </c>
      <c r="J69" s="1" t="s">
        <v>26</v>
      </c>
      <c r="K69" s="1" t="s">
        <v>27</v>
      </c>
      <c r="L69" s="1" t="s">
        <v>32</v>
      </c>
      <c r="M69" s="1" t="s">
        <v>29</v>
      </c>
      <c r="N69" s="1" t="s">
        <v>30</v>
      </c>
      <c r="O69" s="2" t="n">
        <v>409</v>
      </c>
      <c r="P69" s="2" t="n">
        <f aca="false">O69/H69</f>
        <v>227.222222222222</v>
      </c>
      <c r="Q69" s="3" t="n">
        <f aca="false">(R69/P69-1)*-1</f>
        <v>0.124205378973105</v>
      </c>
      <c r="R69" s="2" t="n">
        <v>199</v>
      </c>
      <c r="S69" s="2" t="n">
        <v>179</v>
      </c>
    </row>
    <row r="70" customFormat="false" ht="14" hidden="false" customHeight="false" outlineLevel="0" collapsed="false">
      <c r="A70" s="1" t="s">
        <v>92</v>
      </c>
      <c r="B70" s="1" t="s">
        <v>20</v>
      </c>
      <c r="C70" s="1" t="s">
        <v>21</v>
      </c>
      <c r="D70" s="1" t="s">
        <v>93</v>
      </c>
      <c r="E70" s="1" t="s">
        <v>163</v>
      </c>
      <c r="F70" s="1" t="s">
        <v>164</v>
      </c>
      <c r="G70" s="1" t="s">
        <v>24</v>
      </c>
      <c r="H70" s="1" t="n">
        <v>1.8</v>
      </c>
      <c r="I70" s="1" t="s">
        <v>104</v>
      </c>
      <c r="J70" s="1" t="s">
        <v>26</v>
      </c>
      <c r="K70" s="1" t="s">
        <v>42</v>
      </c>
      <c r="L70" s="1" t="s">
        <v>131</v>
      </c>
      <c r="M70" s="1" t="s">
        <v>29</v>
      </c>
      <c r="N70" s="1" t="s">
        <v>30</v>
      </c>
      <c r="O70" s="2" t="n">
        <v>449</v>
      </c>
      <c r="P70" s="2" t="n">
        <f aca="false">O70/H70</f>
        <v>249.444444444444</v>
      </c>
      <c r="Q70" s="3" t="n">
        <f aca="false">(R70/P70-1)*-1</f>
        <v>0.202227171492205</v>
      </c>
      <c r="R70" s="2" t="n">
        <v>199</v>
      </c>
      <c r="S70" s="2" t="n">
        <v>185</v>
      </c>
    </row>
    <row r="71" customFormat="false" ht="14" hidden="false" customHeight="false" outlineLevel="0" collapsed="false">
      <c r="A71" s="1" t="s">
        <v>92</v>
      </c>
      <c r="B71" s="1" t="s">
        <v>20</v>
      </c>
      <c r="C71" s="1" t="s">
        <v>21</v>
      </c>
      <c r="D71" s="1" t="s">
        <v>93</v>
      </c>
      <c r="E71" s="1" t="s">
        <v>165</v>
      </c>
      <c r="F71" s="1" t="s">
        <v>166</v>
      </c>
      <c r="G71" s="1" t="s">
        <v>24</v>
      </c>
      <c r="H71" s="1" t="n">
        <v>1.8</v>
      </c>
      <c r="I71" s="1" t="s">
        <v>104</v>
      </c>
      <c r="J71" s="1" t="s">
        <v>26</v>
      </c>
      <c r="K71" s="1" t="s">
        <v>58</v>
      </c>
      <c r="L71" s="1" t="s">
        <v>28</v>
      </c>
      <c r="M71" s="1" t="s">
        <v>29</v>
      </c>
      <c r="N71" s="1" t="s">
        <v>30</v>
      </c>
      <c r="O71" s="2" t="n">
        <v>409</v>
      </c>
      <c r="P71" s="2" t="n">
        <f aca="false">O71/H71</f>
        <v>227.222222222222</v>
      </c>
      <c r="Q71" s="3" t="n">
        <f aca="false">(R71/P71-1)*-1</f>
        <v>0.124205378973105</v>
      </c>
      <c r="R71" s="2" t="n">
        <v>199</v>
      </c>
      <c r="S71" s="2" t="n">
        <v>185</v>
      </c>
    </row>
    <row r="72" customFormat="false" ht="14" hidden="false" customHeight="false" outlineLevel="0" collapsed="false">
      <c r="A72" s="1" t="s">
        <v>92</v>
      </c>
      <c r="B72" s="1" t="s">
        <v>20</v>
      </c>
      <c r="C72" s="1" t="s">
        <v>21</v>
      </c>
      <c r="D72" s="1" t="s">
        <v>93</v>
      </c>
      <c r="E72" s="1" t="s">
        <v>167</v>
      </c>
      <c r="F72" s="1" t="s">
        <v>168</v>
      </c>
      <c r="G72" s="1" t="s">
        <v>24</v>
      </c>
      <c r="H72" s="1" t="n">
        <v>1.8</v>
      </c>
      <c r="I72" s="1" t="s">
        <v>104</v>
      </c>
      <c r="J72" s="1" t="s">
        <v>26</v>
      </c>
      <c r="K72" s="1" t="s">
        <v>58</v>
      </c>
      <c r="L72" s="1" t="s">
        <v>59</v>
      </c>
      <c r="M72" s="1" t="s">
        <v>29</v>
      </c>
      <c r="N72" s="1" t="s">
        <v>30</v>
      </c>
      <c r="O72" s="2" t="n">
        <v>409</v>
      </c>
      <c r="P72" s="2" t="n">
        <f aca="false">O72/H72</f>
        <v>227.222222222222</v>
      </c>
      <c r="Q72" s="3" t="n">
        <f aca="false">(R72/P72-1)*-1</f>
        <v>0.124205378973105</v>
      </c>
      <c r="R72" s="2" t="n">
        <v>199</v>
      </c>
      <c r="S72" s="2" t="n">
        <v>185</v>
      </c>
    </row>
    <row r="73" customFormat="false" ht="14" hidden="false" customHeight="false" outlineLevel="0" collapsed="false">
      <c r="A73" s="1" t="s">
        <v>19</v>
      </c>
      <c r="B73" s="1" t="s">
        <v>20</v>
      </c>
      <c r="C73" s="1" t="s">
        <v>21</v>
      </c>
      <c r="D73" s="1" t="s">
        <v>22</v>
      </c>
      <c r="E73" s="10" t="n">
        <v>522863279007201</v>
      </c>
      <c r="F73" s="1" t="s">
        <v>169</v>
      </c>
      <c r="G73" s="1" t="s">
        <v>24</v>
      </c>
      <c r="H73" s="1" t="n">
        <v>1.54</v>
      </c>
      <c r="I73" s="1" t="s">
        <v>153</v>
      </c>
      <c r="J73" s="1" t="s">
        <v>26</v>
      </c>
      <c r="K73" s="1" t="s">
        <v>27</v>
      </c>
      <c r="L73" s="1" t="s">
        <v>56</v>
      </c>
      <c r="M73" s="1" t="s">
        <v>43</v>
      </c>
      <c r="N73" s="1" t="s">
        <v>30</v>
      </c>
      <c r="O73" s="2" t="n">
        <v>389</v>
      </c>
      <c r="P73" s="2" t="n">
        <f aca="false">O73/H73</f>
        <v>252.597402597403</v>
      </c>
      <c r="Q73" s="3" t="n">
        <f aca="false">(R73/P73-1)*-1</f>
        <v>0.172596401028278</v>
      </c>
      <c r="R73" s="2" t="n">
        <v>209</v>
      </c>
      <c r="S73" s="2" t="n">
        <v>0</v>
      </c>
    </row>
    <row r="74" customFormat="false" ht="14" hidden="false" customHeight="false" outlineLevel="0" collapsed="false">
      <c r="A74" s="1" t="s">
        <v>92</v>
      </c>
      <c r="B74" s="1" t="s">
        <v>20</v>
      </c>
      <c r="C74" s="1" t="s">
        <v>21</v>
      </c>
      <c r="D74" s="1" t="s">
        <v>93</v>
      </c>
      <c r="E74" s="1" t="s">
        <v>170</v>
      </c>
      <c r="F74" s="1" t="s">
        <v>171</v>
      </c>
      <c r="G74" s="1" t="s">
        <v>24</v>
      </c>
      <c r="H74" s="1" t="n">
        <v>1.8</v>
      </c>
      <c r="I74" s="1" t="s">
        <v>104</v>
      </c>
      <c r="J74" s="1" t="s">
        <v>26</v>
      </c>
      <c r="K74" s="1" t="s">
        <v>42</v>
      </c>
      <c r="L74" s="1" t="s">
        <v>32</v>
      </c>
      <c r="M74" s="1" t="s">
        <v>29</v>
      </c>
      <c r="N74" s="1" t="s">
        <v>30</v>
      </c>
      <c r="O74" s="2" t="n">
        <v>499</v>
      </c>
      <c r="P74" s="2" t="n">
        <f aca="false">O74/H74</f>
        <v>277.222222222222</v>
      </c>
      <c r="Q74" s="3" t="n">
        <f aca="false">(R74/P74-1)*-1</f>
        <v>0.246092184368737</v>
      </c>
      <c r="R74" s="2" t="n">
        <v>209</v>
      </c>
      <c r="S74" s="2" t="n">
        <v>0</v>
      </c>
    </row>
    <row r="75" customFormat="false" ht="14" hidden="false" customHeight="false" outlineLevel="0" collapsed="false">
      <c r="A75" s="1" t="s">
        <v>92</v>
      </c>
      <c r="B75" s="1" t="s">
        <v>20</v>
      </c>
      <c r="C75" s="1" t="s">
        <v>21</v>
      </c>
      <c r="D75" s="1" t="s">
        <v>93</v>
      </c>
      <c r="E75" s="1" t="s">
        <v>172</v>
      </c>
      <c r="F75" s="1" t="s">
        <v>173</v>
      </c>
      <c r="G75" s="1" t="s">
        <v>24</v>
      </c>
      <c r="H75" s="1" t="n">
        <v>1.8</v>
      </c>
      <c r="I75" s="1" t="s">
        <v>104</v>
      </c>
      <c r="J75" s="1" t="s">
        <v>26</v>
      </c>
      <c r="K75" s="1" t="s">
        <v>42</v>
      </c>
      <c r="L75" s="1" t="s">
        <v>59</v>
      </c>
      <c r="M75" s="1" t="s">
        <v>29</v>
      </c>
      <c r="N75" s="1" t="s">
        <v>30</v>
      </c>
      <c r="O75" s="2" t="n">
        <v>449</v>
      </c>
      <c r="P75" s="2" t="n">
        <f aca="false">O75/H75</f>
        <v>249.444444444444</v>
      </c>
      <c r="Q75" s="3" t="n">
        <f aca="false">(R75/P75-1)*-1</f>
        <v>0.202227171492205</v>
      </c>
      <c r="R75" s="2" t="n">
        <v>199</v>
      </c>
      <c r="S75" s="2" t="n">
        <v>185</v>
      </c>
    </row>
    <row r="76" customFormat="false" ht="14" hidden="false" customHeight="false" outlineLevel="0" collapsed="false">
      <c r="A76" s="1" t="s">
        <v>92</v>
      </c>
      <c r="B76" s="1" t="s">
        <v>20</v>
      </c>
      <c r="C76" s="1" t="s">
        <v>21</v>
      </c>
      <c r="D76" s="1" t="s">
        <v>93</v>
      </c>
      <c r="E76" s="1" t="s">
        <v>174</v>
      </c>
      <c r="F76" s="1" t="s">
        <v>175</v>
      </c>
      <c r="G76" s="1" t="s">
        <v>24</v>
      </c>
      <c r="H76" s="1" t="n">
        <v>1.8</v>
      </c>
      <c r="I76" s="1" t="s">
        <v>104</v>
      </c>
      <c r="J76" s="1" t="s">
        <v>26</v>
      </c>
      <c r="K76" s="1" t="s">
        <v>42</v>
      </c>
      <c r="L76" s="1" t="s">
        <v>97</v>
      </c>
      <c r="M76" s="1" t="s">
        <v>29</v>
      </c>
      <c r="N76" s="1" t="s">
        <v>176</v>
      </c>
      <c r="O76" s="2" t="n">
        <v>589</v>
      </c>
      <c r="P76" s="2" t="n">
        <f aca="false">O76/H76</f>
        <v>327.222222222222</v>
      </c>
      <c r="Q76" s="3" t="n">
        <f aca="false">(R76/P76-1)*-1</f>
        <v>0.361290322580645</v>
      </c>
      <c r="R76" s="2" t="n">
        <v>209</v>
      </c>
      <c r="S76" s="2" t="n">
        <v>199</v>
      </c>
    </row>
    <row r="77" customFormat="false" ht="14" hidden="false" customHeight="false" outlineLevel="0" collapsed="false">
      <c r="A77" s="1" t="s">
        <v>92</v>
      </c>
      <c r="B77" s="1" t="s">
        <v>20</v>
      </c>
      <c r="C77" s="1" t="s">
        <v>21</v>
      </c>
      <c r="D77" s="1" t="s">
        <v>93</v>
      </c>
      <c r="E77" s="1" t="s">
        <v>177</v>
      </c>
      <c r="F77" s="1" t="s">
        <v>178</v>
      </c>
      <c r="G77" s="1" t="s">
        <v>24</v>
      </c>
      <c r="H77" s="1" t="n">
        <v>1.8</v>
      </c>
      <c r="I77" s="1" t="s">
        <v>104</v>
      </c>
      <c r="J77" s="1" t="s">
        <v>26</v>
      </c>
      <c r="K77" s="1" t="s">
        <v>42</v>
      </c>
      <c r="L77" s="1" t="s">
        <v>28</v>
      </c>
      <c r="M77" s="1" t="s">
        <v>29</v>
      </c>
      <c r="N77" s="1" t="s">
        <v>30</v>
      </c>
      <c r="O77" s="2" t="n">
        <v>499</v>
      </c>
      <c r="P77" s="2" t="n">
        <f aca="false">O77/H77</f>
        <v>277.222222222222</v>
      </c>
      <c r="Q77" s="3" t="n">
        <f aca="false">(R77/P77-1)*-1</f>
        <v>0.246092184368737</v>
      </c>
      <c r="R77" s="2" t="n">
        <v>209</v>
      </c>
      <c r="S77" s="2" t="n">
        <v>209</v>
      </c>
    </row>
    <row r="78" customFormat="false" ht="14" hidden="false" customHeight="false" outlineLevel="0" collapsed="false">
      <c r="A78" s="1" t="s">
        <v>92</v>
      </c>
      <c r="B78" s="1" t="s">
        <v>20</v>
      </c>
      <c r="C78" s="1" t="s">
        <v>21</v>
      </c>
      <c r="D78" s="1" t="s">
        <v>93</v>
      </c>
      <c r="E78" s="1" t="s">
        <v>179</v>
      </c>
      <c r="F78" s="1" t="s">
        <v>180</v>
      </c>
      <c r="G78" s="1" t="s">
        <v>24</v>
      </c>
      <c r="H78" s="1" t="n">
        <v>1.8</v>
      </c>
      <c r="I78" s="1" t="s">
        <v>104</v>
      </c>
      <c r="J78" s="1" t="s">
        <v>26</v>
      </c>
      <c r="K78" s="1" t="s">
        <v>42</v>
      </c>
      <c r="L78" s="1" t="s">
        <v>63</v>
      </c>
      <c r="M78" s="1" t="s">
        <v>29</v>
      </c>
      <c r="N78" s="1" t="s">
        <v>30</v>
      </c>
      <c r="O78" s="2" t="n">
        <v>529</v>
      </c>
      <c r="P78" s="2" t="n">
        <f aca="false">O78/H78</f>
        <v>293.888888888889</v>
      </c>
      <c r="Q78" s="3" t="n">
        <f aca="false">(R78/P78-1)*-1</f>
        <v>0.285444234404537</v>
      </c>
      <c r="R78" s="2" t="n">
        <v>210</v>
      </c>
      <c r="S78" s="2" t="n">
        <v>199</v>
      </c>
    </row>
    <row r="79" customFormat="false" ht="14" hidden="false" customHeight="false" outlineLevel="0" collapsed="false">
      <c r="A79" s="1" t="s">
        <v>19</v>
      </c>
      <c r="B79" s="1" t="s">
        <v>20</v>
      </c>
      <c r="C79" s="1" t="s">
        <v>21</v>
      </c>
      <c r="D79" s="1" t="s">
        <v>22</v>
      </c>
      <c r="E79" s="10" t="n">
        <v>521938251743151</v>
      </c>
      <c r="F79" s="1" t="s">
        <v>181</v>
      </c>
      <c r="G79" s="1" t="s">
        <v>24</v>
      </c>
      <c r="H79" s="1" t="n">
        <v>1.53</v>
      </c>
      <c r="I79" s="1" t="s">
        <v>147</v>
      </c>
      <c r="J79" s="1" t="s">
        <v>26</v>
      </c>
      <c r="K79" s="1" t="s">
        <v>42</v>
      </c>
      <c r="L79" s="1" t="s">
        <v>32</v>
      </c>
      <c r="M79" s="1" t="s">
        <v>29</v>
      </c>
      <c r="N79" s="1" t="s">
        <v>30</v>
      </c>
      <c r="O79" s="2" t="n">
        <v>399</v>
      </c>
      <c r="P79" s="2" t="n">
        <f aca="false">O79/H79</f>
        <v>260.78431372549</v>
      </c>
      <c r="Q79" s="3" t="n">
        <f aca="false">(R79/P79-1)*-1</f>
        <v>0.160225563909774</v>
      </c>
      <c r="R79" s="2" t="n">
        <v>219</v>
      </c>
      <c r="S79" s="2" t="n">
        <v>0</v>
      </c>
    </row>
    <row r="80" customFormat="false" ht="14" hidden="false" customHeight="false" outlineLevel="0" collapsed="false">
      <c r="A80" s="1" t="s">
        <v>19</v>
      </c>
      <c r="B80" s="1" t="s">
        <v>20</v>
      </c>
      <c r="C80" s="1" t="s">
        <v>21</v>
      </c>
      <c r="D80" s="1" t="s">
        <v>22</v>
      </c>
      <c r="E80" s="10" t="n">
        <v>520090251011151</v>
      </c>
      <c r="F80" s="1" t="s">
        <v>182</v>
      </c>
      <c r="G80" s="1" t="s">
        <v>24</v>
      </c>
      <c r="H80" s="1" t="n">
        <v>1.53</v>
      </c>
      <c r="I80" s="1" t="s">
        <v>147</v>
      </c>
      <c r="J80" s="1" t="s">
        <v>26</v>
      </c>
      <c r="K80" s="1" t="s">
        <v>58</v>
      </c>
      <c r="L80" s="1" t="s">
        <v>32</v>
      </c>
      <c r="M80" s="1" t="s">
        <v>29</v>
      </c>
      <c r="N80" s="1" t="s">
        <v>30</v>
      </c>
      <c r="O80" s="2" t="n">
        <v>399</v>
      </c>
      <c r="P80" s="2" t="n">
        <f aca="false">O80/H80</f>
        <v>260.78431372549</v>
      </c>
      <c r="Q80" s="3" t="n">
        <f aca="false">(R80/P80-1)*-1</f>
        <v>0.160225563909774</v>
      </c>
      <c r="R80" s="2" t="n">
        <v>219</v>
      </c>
      <c r="S80" s="2" t="n">
        <v>0</v>
      </c>
    </row>
    <row r="81" customFormat="false" ht="14" hidden="false" customHeight="false" outlineLevel="0" collapsed="false">
      <c r="A81" s="1" t="s">
        <v>19</v>
      </c>
      <c r="B81" s="1" t="s">
        <v>20</v>
      </c>
      <c r="C81" s="1" t="s">
        <v>21</v>
      </c>
      <c r="D81" s="1" t="s">
        <v>22</v>
      </c>
      <c r="E81" s="10" t="n">
        <v>520090251715151</v>
      </c>
      <c r="F81" s="1" t="s">
        <v>183</v>
      </c>
      <c r="G81" s="1" t="s">
        <v>24</v>
      </c>
      <c r="H81" s="1" t="n">
        <v>1.53</v>
      </c>
      <c r="I81" s="1" t="s">
        <v>147</v>
      </c>
      <c r="J81" s="1" t="s">
        <v>26</v>
      </c>
      <c r="K81" s="1" t="s">
        <v>58</v>
      </c>
      <c r="L81" s="1" t="s">
        <v>59</v>
      </c>
      <c r="M81" s="1" t="s">
        <v>29</v>
      </c>
      <c r="N81" s="1" t="s">
        <v>30</v>
      </c>
      <c r="O81" s="2" t="n">
        <v>399</v>
      </c>
      <c r="P81" s="2" t="n">
        <f aca="false">O81/H81</f>
        <v>260.78431372549</v>
      </c>
      <c r="Q81" s="3" t="n">
        <f aca="false">(R81/P81-1)*-1</f>
        <v>0.160225563909774</v>
      </c>
      <c r="R81" s="2" t="n">
        <v>219</v>
      </c>
      <c r="S81" s="2" t="n">
        <v>0</v>
      </c>
    </row>
    <row r="82" customFormat="false" ht="14" hidden="false" customHeight="false" outlineLevel="0" collapsed="false">
      <c r="A82" s="1" t="s">
        <v>19</v>
      </c>
      <c r="B82" s="1" t="s">
        <v>20</v>
      </c>
      <c r="C82" s="1" t="s">
        <v>21</v>
      </c>
      <c r="D82" s="1" t="s">
        <v>22</v>
      </c>
      <c r="E82" s="10" t="n">
        <v>520432251011151</v>
      </c>
      <c r="F82" s="1" t="s">
        <v>184</v>
      </c>
      <c r="G82" s="1" t="s">
        <v>24</v>
      </c>
      <c r="H82" s="1" t="n">
        <v>1.53</v>
      </c>
      <c r="I82" s="1" t="s">
        <v>147</v>
      </c>
      <c r="J82" s="1" t="s">
        <v>26</v>
      </c>
      <c r="K82" s="1" t="s">
        <v>27</v>
      </c>
      <c r="L82" s="1" t="s">
        <v>32</v>
      </c>
      <c r="M82" s="1" t="s">
        <v>29</v>
      </c>
      <c r="N82" s="1" t="s">
        <v>30</v>
      </c>
      <c r="O82" s="2" t="n">
        <v>399</v>
      </c>
      <c r="P82" s="2" t="n">
        <f aca="false">O82/H82</f>
        <v>260.78431372549</v>
      </c>
      <c r="Q82" s="3" t="n">
        <f aca="false">(R82/P82-1)*-1</f>
        <v>0.160225563909774</v>
      </c>
      <c r="R82" s="2" t="n">
        <v>219</v>
      </c>
      <c r="S82" s="2" t="n">
        <v>0</v>
      </c>
    </row>
    <row r="83" customFormat="false" ht="14" hidden="false" customHeight="false" outlineLevel="0" collapsed="false">
      <c r="A83" s="1" t="s">
        <v>19</v>
      </c>
      <c r="B83" s="1" t="s">
        <v>20</v>
      </c>
      <c r="C83" s="1" t="s">
        <v>21</v>
      </c>
      <c r="D83" s="1" t="s">
        <v>22</v>
      </c>
      <c r="E83" s="10" t="n">
        <v>520432251722151</v>
      </c>
      <c r="F83" s="1" t="s">
        <v>185</v>
      </c>
      <c r="G83" s="1" t="s">
        <v>24</v>
      </c>
      <c r="H83" s="1" t="n">
        <v>1.53</v>
      </c>
      <c r="I83" s="1" t="s">
        <v>147</v>
      </c>
      <c r="J83" s="1" t="s">
        <v>26</v>
      </c>
      <c r="K83" s="1" t="s">
        <v>27</v>
      </c>
      <c r="L83" s="1" t="s">
        <v>28</v>
      </c>
      <c r="M83" s="1" t="s">
        <v>29</v>
      </c>
      <c r="N83" s="1" t="s">
        <v>30</v>
      </c>
      <c r="O83" s="2" t="n">
        <v>399</v>
      </c>
      <c r="P83" s="2" t="n">
        <f aca="false">O83/H83</f>
        <v>260.78431372549</v>
      </c>
      <c r="Q83" s="3" t="n">
        <f aca="false">(R83/P83-1)*-1</f>
        <v>0.160225563909774</v>
      </c>
      <c r="R83" s="2" t="n">
        <v>219</v>
      </c>
      <c r="S83" s="2" t="n">
        <v>0</v>
      </c>
    </row>
    <row r="84" customFormat="false" ht="14" hidden="false" customHeight="false" outlineLevel="0" collapsed="false">
      <c r="A84" s="1" t="s">
        <v>19</v>
      </c>
      <c r="B84" s="1" t="s">
        <v>20</v>
      </c>
      <c r="C84" s="1" t="s">
        <v>21</v>
      </c>
      <c r="D84" s="1" t="s">
        <v>22</v>
      </c>
      <c r="E84" s="10" t="n">
        <v>521172251028151</v>
      </c>
      <c r="F84" s="1" t="s">
        <v>186</v>
      </c>
      <c r="G84" s="1" t="s">
        <v>24</v>
      </c>
      <c r="H84" s="1" t="n">
        <v>1.53</v>
      </c>
      <c r="I84" s="1" t="s">
        <v>147</v>
      </c>
      <c r="J84" s="1" t="s">
        <v>26</v>
      </c>
      <c r="K84" s="1" t="s">
        <v>42</v>
      </c>
      <c r="L84" s="1" t="s">
        <v>28</v>
      </c>
      <c r="M84" s="1" t="s">
        <v>29</v>
      </c>
      <c r="N84" s="1" t="s">
        <v>30</v>
      </c>
      <c r="O84" s="2" t="n">
        <v>409</v>
      </c>
      <c r="P84" s="2" t="n">
        <f aca="false">O84/H84</f>
        <v>267.320261437908</v>
      </c>
      <c r="Q84" s="3" t="n">
        <f aca="false">(R84/P84-1)*-1</f>
        <v>0.180757946210269</v>
      </c>
      <c r="R84" s="2" t="n">
        <v>219</v>
      </c>
      <c r="S84" s="2" t="n">
        <v>0</v>
      </c>
    </row>
    <row r="85" customFormat="false" ht="14" hidden="false" customHeight="false" outlineLevel="0" collapsed="false">
      <c r="A85" s="1" t="s">
        <v>19</v>
      </c>
      <c r="B85" s="1" t="s">
        <v>20</v>
      </c>
      <c r="C85" s="1" t="s">
        <v>21</v>
      </c>
      <c r="D85" s="1" t="s">
        <v>22</v>
      </c>
      <c r="E85" s="10" t="n">
        <v>522023251315151</v>
      </c>
      <c r="F85" s="1" t="s">
        <v>187</v>
      </c>
      <c r="G85" s="1" t="s">
        <v>24</v>
      </c>
      <c r="H85" s="1" t="n">
        <v>1.53</v>
      </c>
      <c r="I85" s="1" t="s">
        <v>147</v>
      </c>
      <c r="J85" s="1" t="s">
        <v>26</v>
      </c>
      <c r="K85" s="1" t="s">
        <v>42</v>
      </c>
      <c r="L85" s="1" t="s">
        <v>59</v>
      </c>
      <c r="M85" s="1" t="s">
        <v>29</v>
      </c>
      <c r="N85" s="1" t="s">
        <v>30</v>
      </c>
      <c r="O85" s="2" t="n">
        <v>399</v>
      </c>
      <c r="P85" s="2" t="n">
        <f aca="false">O85/H85</f>
        <v>260.78431372549</v>
      </c>
      <c r="Q85" s="3" t="n">
        <f aca="false">(R85/P85-1)*-1</f>
        <v>0.160225563909774</v>
      </c>
      <c r="R85" s="2" t="n">
        <v>219</v>
      </c>
      <c r="S85" s="2" t="n">
        <v>0</v>
      </c>
    </row>
    <row r="86" customFormat="false" ht="14" hidden="false" customHeight="false" outlineLevel="0" collapsed="false">
      <c r="A86" s="1" t="s">
        <v>19</v>
      </c>
      <c r="B86" s="1" t="s">
        <v>20</v>
      </c>
      <c r="C86" s="1" t="s">
        <v>21</v>
      </c>
      <c r="D86" s="1" t="s">
        <v>22</v>
      </c>
      <c r="E86" s="10" t="n">
        <v>522623279010201</v>
      </c>
      <c r="F86" s="1" t="s">
        <v>188</v>
      </c>
      <c r="G86" s="1" t="s">
        <v>24</v>
      </c>
      <c r="H86" s="1" t="n">
        <v>1.54</v>
      </c>
      <c r="I86" s="1" t="s">
        <v>153</v>
      </c>
      <c r="J86" s="1" t="s">
        <v>26</v>
      </c>
      <c r="K86" s="1" t="s">
        <v>27</v>
      </c>
      <c r="L86" s="1" t="s">
        <v>28</v>
      </c>
      <c r="M86" s="1" t="s">
        <v>43</v>
      </c>
      <c r="N86" s="1" t="s">
        <v>30</v>
      </c>
      <c r="O86" s="2" t="n">
        <v>409</v>
      </c>
      <c r="P86" s="2" t="n">
        <f aca="false">O86/H86</f>
        <v>265.584415584416</v>
      </c>
      <c r="Q86" s="3" t="n">
        <f aca="false">(R86/P86-1)*-1</f>
        <v>0.175403422982885</v>
      </c>
      <c r="R86" s="2" t="n">
        <v>219</v>
      </c>
      <c r="S86" s="2" t="n">
        <v>0</v>
      </c>
    </row>
    <row r="87" customFormat="false" ht="14" hidden="false" customHeight="false" outlineLevel="0" collapsed="false">
      <c r="A87" s="1" t="s">
        <v>19</v>
      </c>
      <c r="B87" s="1" t="s">
        <v>20</v>
      </c>
      <c r="C87" s="1" t="s">
        <v>21</v>
      </c>
      <c r="D87" s="1" t="s">
        <v>22</v>
      </c>
      <c r="E87" s="10" t="s">
        <v>189</v>
      </c>
      <c r="F87" s="1" t="s">
        <v>190</v>
      </c>
      <c r="G87" s="1" t="s">
        <v>24</v>
      </c>
      <c r="H87" s="1" t="n">
        <v>1.54</v>
      </c>
      <c r="I87" s="1" t="s">
        <v>153</v>
      </c>
      <c r="J87" s="1" t="s">
        <v>26</v>
      </c>
      <c r="K87" s="1" t="s">
        <v>27</v>
      </c>
      <c r="L87" s="1" t="s">
        <v>28</v>
      </c>
      <c r="M87" s="1" t="s">
        <v>43</v>
      </c>
      <c r="N87" s="1" t="s">
        <v>30</v>
      </c>
      <c r="O87" s="2" t="n">
        <v>409</v>
      </c>
      <c r="P87" s="2" t="n">
        <f aca="false">O87/H87</f>
        <v>265.584415584416</v>
      </c>
      <c r="Q87" s="3" t="n">
        <f aca="false">(R87/P87-1)*-1</f>
        <v>0.175403422982885</v>
      </c>
      <c r="R87" s="2" t="n">
        <v>219</v>
      </c>
      <c r="S87" s="2" t="n">
        <v>0</v>
      </c>
    </row>
    <row r="88" customFormat="false" ht="14" hidden="false" customHeight="false" outlineLevel="0" collapsed="false">
      <c r="A88" s="1" t="s">
        <v>19</v>
      </c>
      <c r="B88" s="1" t="s">
        <v>20</v>
      </c>
      <c r="C88" s="1" t="s">
        <v>21</v>
      </c>
      <c r="D88" s="1" t="s">
        <v>22</v>
      </c>
      <c r="E88" s="10" t="n">
        <v>522786279292201</v>
      </c>
      <c r="F88" s="1" t="s">
        <v>191</v>
      </c>
      <c r="G88" s="1" t="s">
        <v>24</v>
      </c>
      <c r="H88" s="1" t="n">
        <v>1.54</v>
      </c>
      <c r="I88" s="1" t="s">
        <v>153</v>
      </c>
      <c r="J88" s="1" t="s">
        <v>26</v>
      </c>
      <c r="K88" s="1" t="s">
        <v>27</v>
      </c>
      <c r="L88" s="1" t="s">
        <v>32</v>
      </c>
      <c r="M88" s="1" t="s">
        <v>43</v>
      </c>
      <c r="N88" s="1" t="s">
        <v>30</v>
      </c>
      <c r="O88" s="2" t="n">
        <v>409</v>
      </c>
      <c r="P88" s="2" t="n">
        <f aca="false">O88/H88</f>
        <v>265.584415584416</v>
      </c>
      <c r="Q88" s="3" t="n">
        <f aca="false">(R88/P88-1)*-1</f>
        <v>0.175403422982885</v>
      </c>
      <c r="R88" s="2" t="n">
        <v>219</v>
      </c>
      <c r="S88" s="2" t="n">
        <v>0</v>
      </c>
    </row>
    <row r="89" customFormat="false" ht="14" hidden="false" customHeight="false" outlineLevel="0" collapsed="false">
      <c r="A89" s="1" t="s">
        <v>19</v>
      </c>
      <c r="B89" s="1" t="s">
        <v>20</v>
      </c>
      <c r="C89" s="1" t="s">
        <v>21</v>
      </c>
      <c r="D89" s="1" t="s">
        <v>22</v>
      </c>
      <c r="E89" s="10" t="n">
        <v>522786279669201</v>
      </c>
      <c r="F89" s="1" t="s">
        <v>192</v>
      </c>
      <c r="G89" s="1" t="s">
        <v>24</v>
      </c>
      <c r="H89" s="1" t="n">
        <v>1.54</v>
      </c>
      <c r="I89" s="1" t="s">
        <v>193</v>
      </c>
      <c r="J89" s="1" t="s">
        <v>26</v>
      </c>
      <c r="K89" s="1" t="s">
        <v>27</v>
      </c>
      <c r="L89" s="1" t="s">
        <v>56</v>
      </c>
      <c r="M89" s="1" t="s">
        <v>43</v>
      </c>
      <c r="N89" s="1" t="s">
        <v>30</v>
      </c>
      <c r="O89" s="2" t="n">
        <v>409</v>
      </c>
      <c r="P89" s="2" t="n">
        <f aca="false">O89/H89</f>
        <v>265.584415584416</v>
      </c>
      <c r="Q89" s="3" t="n">
        <f aca="false">(R89/P89-1)*-1</f>
        <v>0.175403422982885</v>
      </c>
      <c r="R89" s="2" t="n">
        <v>219</v>
      </c>
      <c r="S89" s="2" t="n">
        <v>0</v>
      </c>
    </row>
    <row r="90" customFormat="false" ht="14" hidden="false" customHeight="false" outlineLevel="0" collapsed="false">
      <c r="A90" s="1" t="s">
        <v>19</v>
      </c>
      <c r="B90" s="1" t="s">
        <v>20</v>
      </c>
      <c r="C90" s="1" t="s">
        <v>21</v>
      </c>
      <c r="D90" s="1" t="s">
        <v>22</v>
      </c>
      <c r="E90" s="10" t="n">
        <v>521957143683011</v>
      </c>
      <c r="F90" s="1" t="s">
        <v>194</v>
      </c>
      <c r="G90" s="1" t="s">
        <v>24</v>
      </c>
      <c r="H90" s="1" t="n">
        <v>1.83</v>
      </c>
      <c r="I90" s="1" t="s">
        <v>83</v>
      </c>
      <c r="J90" s="1" t="s">
        <v>26</v>
      </c>
      <c r="K90" s="1" t="s">
        <v>195</v>
      </c>
      <c r="L90" s="1" t="s">
        <v>32</v>
      </c>
      <c r="M90" s="1" t="s">
        <v>29</v>
      </c>
      <c r="N90" s="1" t="s">
        <v>30</v>
      </c>
      <c r="O90" s="2" t="n">
        <v>479</v>
      </c>
      <c r="P90" s="2" t="n">
        <f aca="false">O90/H90</f>
        <v>261.748633879781</v>
      </c>
      <c r="Q90" s="3" t="n">
        <f aca="false">(R90/P90-1)*-1</f>
        <v>0.163319415448852</v>
      </c>
      <c r="R90" s="2" t="n">
        <v>219</v>
      </c>
      <c r="S90" s="2" t="n">
        <v>0</v>
      </c>
    </row>
    <row r="91" customFormat="false" ht="14" hidden="false" customHeight="false" outlineLevel="0" collapsed="false">
      <c r="A91" s="1" t="s">
        <v>19</v>
      </c>
      <c r="B91" s="1" t="s">
        <v>20</v>
      </c>
      <c r="C91" s="1" t="s">
        <v>21</v>
      </c>
      <c r="D91" s="1" t="s">
        <v>22</v>
      </c>
      <c r="E91" s="10" t="n">
        <v>521817143007011</v>
      </c>
      <c r="F91" s="1" t="s">
        <v>196</v>
      </c>
      <c r="G91" s="1" t="s">
        <v>24</v>
      </c>
      <c r="H91" s="1" t="n">
        <v>1.83</v>
      </c>
      <c r="I91" s="1" t="s">
        <v>83</v>
      </c>
      <c r="K91" s="1" t="s">
        <v>27</v>
      </c>
      <c r="L91" s="1" t="s">
        <v>56</v>
      </c>
      <c r="M91" s="1" t="s">
        <v>29</v>
      </c>
      <c r="N91" s="1" t="s">
        <v>30</v>
      </c>
      <c r="O91" s="2" t="n">
        <v>489</v>
      </c>
      <c r="P91" s="2" t="n">
        <f aca="false">O91/H91</f>
        <v>267.213114754098</v>
      </c>
      <c r="Q91" s="3" t="n">
        <f aca="false">(R91/P91-1)*-1</f>
        <v>0.180429447852761</v>
      </c>
      <c r="R91" s="2" t="n">
        <v>219</v>
      </c>
      <c r="S91" s="2" t="n">
        <v>0</v>
      </c>
    </row>
    <row r="92" customFormat="false" ht="14" hidden="false" customHeight="false" outlineLevel="0" collapsed="false">
      <c r="A92" s="1" t="s">
        <v>92</v>
      </c>
      <c r="B92" s="1" t="s">
        <v>20</v>
      </c>
      <c r="C92" s="1" t="s">
        <v>21</v>
      </c>
      <c r="D92" s="1" t="s">
        <v>93</v>
      </c>
      <c r="E92" s="1" t="s">
        <v>197</v>
      </c>
      <c r="F92" s="1" t="s">
        <v>198</v>
      </c>
      <c r="G92" s="1" t="s">
        <v>24</v>
      </c>
      <c r="H92" s="1" t="n">
        <v>1.8</v>
      </c>
      <c r="I92" s="1" t="s">
        <v>104</v>
      </c>
      <c r="J92" s="1" t="s">
        <v>26</v>
      </c>
      <c r="K92" s="1" t="s">
        <v>195</v>
      </c>
      <c r="L92" s="1" t="s">
        <v>28</v>
      </c>
      <c r="M92" s="1" t="s">
        <v>29</v>
      </c>
      <c r="N92" s="1" t="s">
        <v>30</v>
      </c>
      <c r="O92" s="2" t="n">
        <v>499</v>
      </c>
      <c r="P92" s="2" t="n">
        <f aca="false">O92/H92</f>
        <v>277.222222222222</v>
      </c>
      <c r="Q92" s="3" t="n">
        <f aca="false">(R92/P92-1)*-1</f>
        <v>0.21002004008016</v>
      </c>
      <c r="R92" s="2" t="n">
        <v>219</v>
      </c>
      <c r="S92" s="2" t="n">
        <v>205</v>
      </c>
    </row>
    <row r="93" customFormat="false" ht="14" hidden="false" customHeight="false" outlineLevel="0" collapsed="false">
      <c r="A93" s="1" t="s">
        <v>19</v>
      </c>
      <c r="B93" s="1" t="s">
        <v>20</v>
      </c>
      <c r="C93" s="1" t="s">
        <v>21</v>
      </c>
      <c r="D93" s="1" t="s">
        <v>22</v>
      </c>
      <c r="E93" s="10" t="n">
        <v>522125413779351</v>
      </c>
      <c r="F93" s="1" t="s">
        <v>199</v>
      </c>
      <c r="G93" s="1" t="s">
        <v>24</v>
      </c>
      <c r="H93" s="1" t="n">
        <v>1.64</v>
      </c>
      <c r="I93" s="1" t="s">
        <v>69</v>
      </c>
      <c r="J93" s="1" t="s">
        <v>26</v>
      </c>
      <c r="K93" s="1" t="s">
        <v>58</v>
      </c>
      <c r="L93" s="1" t="s">
        <v>28</v>
      </c>
      <c r="M93" s="1" t="s">
        <v>29</v>
      </c>
      <c r="N93" s="1" t="s">
        <v>30</v>
      </c>
      <c r="O93" s="2" t="n">
        <v>449</v>
      </c>
      <c r="P93" s="2" t="n">
        <f aca="false">O93/H93</f>
        <v>273.780487804878</v>
      </c>
      <c r="Q93" s="3" t="n">
        <f aca="false">(R93/P93-1)*-1</f>
        <v>0.163563474387528</v>
      </c>
      <c r="R93" s="2" t="n">
        <v>229</v>
      </c>
      <c r="S93" s="2" t="n">
        <v>0</v>
      </c>
    </row>
    <row r="94" customFormat="false" ht="14" hidden="false" customHeight="false" outlineLevel="0" collapsed="false">
      <c r="A94" s="1" t="s">
        <v>19</v>
      </c>
      <c r="B94" s="1" t="s">
        <v>20</v>
      </c>
      <c r="C94" s="1" t="s">
        <v>21</v>
      </c>
      <c r="D94" s="1" t="s">
        <v>22</v>
      </c>
      <c r="E94" s="10" t="n">
        <v>522125413778351</v>
      </c>
      <c r="F94" s="1" t="s">
        <v>200</v>
      </c>
      <c r="G94" s="1" t="s">
        <v>24</v>
      </c>
      <c r="H94" s="1" t="n">
        <v>1.64</v>
      </c>
      <c r="I94" s="1" t="s">
        <v>69</v>
      </c>
      <c r="J94" s="1" t="s">
        <v>26</v>
      </c>
      <c r="K94" s="1" t="s">
        <v>58</v>
      </c>
      <c r="L94" s="1" t="s">
        <v>28</v>
      </c>
      <c r="M94" s="1" t="s">
        <v>29</v>
      </c>
      <c r="N94" s="1" t="s">
        <v>30</v>
      </c>
      <c r="O94" s="2" t="n">
        <v>449</v>
      </c>
      <c r="P94" s="2" t="n">
        <f aca="false">O94/H94</f>
        <v>273.780487804878</v>
      </c>
      <c r="Q94" s="3" t="n">
        <f aca="false">(R94/P94-1)*-1</f>
        <v>0.163563474387528</v>
      </c>
      <c r="R94" s="2" t="n">
        <v>229</v>
      </c>
      <c r="S94" s="2" t="n">
        <v>0</v>
      </c>
    </row>
    <row r="95" customFormat="false" ht="14" hidden="false" customHeight="false" outlineLevel="0" collapsed="false">
      <c r="A95" s="1" t="s">
        <v>19</v>
      </c>
      <c r="B95" s="1" t="s">
        <v>20</v>
      </c>
      <c r="C95" s="1" t="s">
        <v>21</v>
      </c>
      <c r="D95" s="1" t="s">
        <v>22</v>
      </c>
      <c r="E95" s="10" t="n">
        <v>520721428007031</v>
      </c>
      <c r="F95" s="1" t="s">
        <v>201</v>
      </c>
      <c r="G95" s="1" t="s">
        <v>24</v>
      </c>
      <c r="H95" s="1" t="n">
        <v>1.79</v>
      </c>
      <c r="I95" s="1" t="s">
        <v>202</v>
      </c>
      <c r="J95" s="1" t="s">
        <v>26</v>
      </c>
      <c r="K95" s="1" t="s">
        <v>61</v>
      </c>
      <c r="L95" s="1" t="s">
        <v>56</v>
      </c>
      <c r="M95" s="1" t="s">
        <v>43</v>
      </c>
      <c r="N95" s="1" t="s">
        <v>30</v>
      </c>
      <c r="O95" s="2" t="n">
        <v>499</v>
      </c>
      <c r="P95" s="2" t="n">
        <f aca="false">O95/H95</f>
        <v>278.77094972067</v>
      </c>
      <c r="Q95" s="3" t="n">
        <f aca="false">(R95/P95-1)*-1</f>
        <v>0.178537074148297</v>
      </c>
      <c r="R95" s="2" t="n">
        <v>229</v>
      </c>
      <c r="S95" s="2" t="n">
        <v>0</v>
      </c>
    </row>
    <row r="96" customFormat="false" ht="14" hidden="false" customHeight="false" outlineLevel="0" collapsed="false">
      <c r="A96" s="1" t="s">
        <v>19</v>
      </c>
      <c r="B96" s="1" t="s">
        <v>20</v>
      </c>
      <c r="C96" s="1" t="s">
        <v>21</v>
      </c>
      <c r="D96" s="1" t="s">
        <v>22</v>
      </c>
      <c r="E96" s="10" t="n">
        <v>522785143478011</v>
      </c>
      <c r="F96" s="1" t="s">
        <v>203</v>
      </c>
      <c r="G96" s="1" t="s">
        <v>24</v>
      </c>
      <c r="H96" s="1" t="n">
        <v>1.83</v>
      </c>
      <c r="I96" s="1" t="s">
        <v>83</v>
      </c>
      <c r="J96" s="1" t="s">
        <v>26</v>
      </c>
      <c r="K96" s="1" t="s">
        <v>27</v>
      </c>
      <c r="L96" s="1" t="s">
        <v>32</v>
      </c>
      <c r="M96" s="1" t="s">
        <v>43</v>
      </c>
      <c r="N96" s="1" t="s">
        <v>30</v>
      </c>
      <c r="O96" s="2" t="n">
        <v>509</v>
      </c>
      <c r="P96" s="2" t="n">
        <f aca="false">O96/H96</f>
        <v>278.142076502732</v>
      </c>
      <c r="Q96" s="3" t="n">
        <f aca="false">(R96/P96-1)*-1</f>
        <v>0.176679764243615</v>
      </c>
      <c r="R96" s="2" t="n">
        <v>229</v>
      </c>
      <c r="S96" s="2" t="n">
        <v>0</v>
      </c>
    </row>
    <row r="97" customFormat="false" ht="14" hidden="false" customHeight="false" outlineLevel="0" collapsed="false">
      <c r="A97" s="1" t="s">
        <v>19</v>
      </c>
      <c r="B97" s="1" t="s">
        <v>20</v>
      </c>
      <c r="C97" s="1" t="s">
        <v>21</v>
      </c>
      <c r="D97" s="1" t="s">
        <v>22</v>
      </c>
      <c r="E97" s="10" t="n">
        <v>522785143912011</v>
      </c>
      <c r="F97" s="1" t="s">
        <v>204</v>
      </c>
      <c r="G97" s="1" t="s">
        <v>24</v>
      </c>
      <c r="H97" s="1" t="n">
        <v>1.83</v>
      </c>
      <c r="I97" s="1" t="s">
        <v>83</v>
      </c>
      <c r="J97" s="1" t="s">
        <v>26</v>
      </c>
      <c r="K97" s="1" t="s">
        <v>27</v>
      </c>
      <c r="L97" s="1" t="s">
        <v>56</v>
      </c>
      <c r="M97" s="1" t="s">
        <v>43</v>
      </c>
      <c r="N97" s="1" t="s">
        <v>30</v>
      </c>
      <c r="O97" s="2" t="n">
        <v>509</v>
      </c>
      <c r="P97" s="2" t="n">
        <f aca="false">O97/H97</f>
        <v>278.142076502732</v>
      </c>
      <c r="Q97" s="3" t="n">
        <f aca="false">(R97/P97-1)*-1</f>
        <v>0.176679764243615</v>
      </c>
      <c r="R97" s="2" t="n">
        <v>229</v>
      </c>
      <c r="S97" s="2" t="n">
        <v>0</v>
      </c>
    </row>
    <row r="98" customFormat="false" ht="14" hidden="false" customHeight="false" outlineLevel="0" collapsed="false">
      <c r="A98" s="1" t="s">
        <v>19</v>
      </c>
      <c r="B98" s="1" t="s">
        <v>20</v>
      </c>
      <c r="C98" s="1" t="s">
        <v>21</v>
      </c>
      <c r="D98" s="1" t="s">
        <v>22</v>
      </c>
      <c r="E98" s="10" t="n">
        <v>522901143016011</v>
      </c>
      <c r="F98" s="1" t="s">
        <v>205</v>
      </c>
      <c r="G98" s="1" t="s">
        <v>24</v>
      </c>
      <c r="H98" s="1" t="n">
        <v>1.83</v>
      </c>
      <c r="I98" s="1" t="s">
        <v>83</v>
      </c>
      <c r="J98" s="1" t="s">
        <v>26</v>
      </c>
      <c r="K98" s="1" t="s">
        <v>27</v>
      </c>
      <c r="L98" s="1" t="s">
        <v>63</v>
      </c>
      <c r="M98" s="1" t="s">
        <v>43</v>
      </c>
      <c r="N98" s="1" t="s">
        <v>30</v>
      </c>
      <c r="O98" s="2" t="n">
        <v>529</v>
      </c>
      <c r="P98" s="2" t="n">
        <f aca="false">O98/H98</f>
        <v>289.071038251366</v>
      </c>
      <c r="Q98" s="3" t="n">
        <f aca="false">(R98/P98-1)*-1</f>
        <v>0.207807183364839</v>
      </c>
      <c r="R98" s="2" t="n">
        <v>229</v>
      </c>
      <c r="S98" s="2" t="n">
        <v>0</v>
      </c>
    </row>
    <row r="99" customFormat="false" ht="14" hidden="false" customHeight="false" outlineLevel="0" collapsed="false">
      <c r="A99" s="1" t="s">
        <v>19</v>
      </c>
      <c r="B99" s="1" t="s">
        <v>20</v>
      </c>
      <c r="C99" s="1" t="s">
        <v>21</v>
      </c>
      <c r="D99" s="1" t="s">
        <v>22</v>
      </c>
      <c r="E99" s="10" t="n">
        <v>522837260016271</v>
      </c>
      <c r="F99" s="1" t="s">
        <v>206</v>
      </c>
      <c r="G99" s="1" t="s">
        <v>24</v>
      </c>
      <c r="H99" s="1" t="n">
        <v>1.44</v>
      </c>
      <c r="I99" s="1" t="s">
        <v>207</v>
      </c>
      <c r="J99" s="1" t="s">
        <v>208</v>
      </c>
      <c r="K99" s="1" t="s">
        <v>27</v>
      </c>
      <c r="L99" s="1" t="s">
        <v>63</v>
      </c>
      <c r="M99" s="1" t="s">
        <v>209</v>
      </c>
      <c r="N99" s="1" t="s">
        <v>99</v>
      </c>
      <c r="O99" s="2" t="n">
        <v>779</v>
      </c>
      <c r="P99" s="2" t="n">
        <f aca="false">O99/H99</f>
        <v>540.972222222222</v>
      </c>
      <c r="Q99" s="3" t="n">
        <f aca="false">(R99/P99-1)*-1</f>
        <v>0.188498074454429</v>
      </c>
      <c r="R99" s="2" t="n">
        <v>439</v>
      </c>
      <c r="S99" s="2" t="n">
        <v>0</v>
      </c>
    </row>
    <row r="100" customFormat="false" ht="14" hidden="false" customHeight="false" outlineLevel="0" collapsed="false">
      <c r="A100" s="1" t="s">
        <v>19</v>
      </c>
      <c r="B100" s="1" t="s">
        <v>20</v>
      </c>
      <c r="C100" s="1" t="s">
        <v>21</v>
      </c>
      <c r="D100" s="1" t="s">
        <v>22</v>
      </c>
      <c r="E100" s="10" t="n">
        <v>522785417026201</v>
      </c>
      <c r="F100" s="1" t="s">
        <v>210</v>
      </c>
      <c r="G100" s="1" t="s">
        <v>24</v>
      </c>
      <c r="H100" s="1" t="n">
        <v>1.83</v>
      </c>
      <c r="I100" s="1" t="s">
        <v>211</v>
      </c>
      <c r="J100" s="1" t="s">
        <v>26</v>
      </c>
      <c r="K100" s="1" t="s">
        <v>27</v>
      </c>
      <c r="L100" s="1" t="s">
        <v>28</v>
      </c>
      <c r="M100" s="1" t="s">
        <v>43</v>
      </c>
      <c r="N100" s="1" t="s">
        <v>30</v>
      </c>
      <c r="O100" s="2" t="n">
        <v>509</v>
      </c>
      <c r="P100" s="2" t="n">
        <f aca="false">O100/H100</f>
        <v>278.142076502732</v>
      </c>
      <c r="Q100" s="3" t="n">
        <f aca="false">(R100/P100-1)*-1</f>
        <v>0.176679764243615</v>
      </c>
      <c r="R100" s="2" t="n">
        <v>229</v>
      </c>
      <c r="S100" s="2" t="n">
        <v>199</v>
      </c>
    </row>
    <row r="101" customFormat="false" ht="14" hidden="false" customHeight="false" outlineLevel="0" collapsed="false">
      <c r="A101" s="1" t="s">
        <v>19</v>
      </c>
      <c r="B101" s="1" t="s">
        <v>20</v>
      </c>
      <c r="C101" s="1" t="s">
        <v>21</v>
      </c>
      <c r="D101" s="1" t="s">
        <v>22</v>
      </c>
      <c r="E101" s="10" t="n">
        <v>522785417912201</v>
      </c>
      <c r="F101" s="1" t="s">
        <v>212</v>
      </c>
      <c r="G101" s="1" t="s">
        <v>24</v>
      </c>
      <c r="H101" s="1" t="n">
        <v>1.93</v>
      </c>
      <c r="I101" s="1" t="s">
        <v>211</v>
      </c>
      <c r="J101" s="1" t="s">
        <v>26</v>
      </c>
      <c r="K101" s="1" t="s">
        <v>27</v>
      </c>
      <c r="L101" s="1" t="s">
        <v>56</v>
      </c>
      <c r="M101" s="1" t="s">
        <v>43</v>
      </c>
      <c r="N101" s="1" t="s">
        <v>30</v>
      </c>
      <c r="O101" s="2" t="n">
        <v>529</v>
      </c>
      <c r="P101" s="2" t="n">
        <f aca="false">O101/H101</f>
        <v>274.093264248705</v>
      </c>
      <c r="Q101" s="3" t="n">
        <f aca="false">(R101/P101-1)*-1</f>
        <v>0.164517958412098</v>
      </c>
      <c r="R101" s="2" t="n">
        <v>229</v>
      </c>
      <c r="S101" s="2" t="n">
        <v>0</v>
      </c>
    </row>
    <row r="102" customFormat="false" ht="14" hidden="false" customHeight="false" outlineLevel="0" collapsed="false">
      <c r="A102" s="1" t="s">
        <v>92</v>
      </c>
      <c r="B102" s="1" t="s">
        <v>20</v>
      </c>
      <c r="C102" s="1" t="s">
        <v>21</v>
      </c>
      <c r="D102" s="1" t="s">
        <v>93</v>
      </c>
      <c r="E102" s="1" t="s">
        <v>213</v>
      </c>
      <c r="F102" s="1" t="s">
        <v>214</v>
      </c>
      <c r="G102" s="1" t="s">
        <v>24</v>
      </c>
      <c r="H102" s="1" t="n">
        <v>1.8</v>
      </c>
      <c r="I102" s="1" t="s">
        <v>104</v>
      </c>
      <c r="J102" s="1" t="s">
        <v>26</v>
      </c>
      <c r="K102" s="1" t="s">
        <v>27</v>
      </c>
      <c r="L102" s="1" t="s">
        <v>97</v>
      </c>
      <c r="M102" s="1" t="s">
        <v>215</v>
      </c>
      <c r="N102" s="1" t="s">
        <v>30</v>
      </c>
      <c r="O102" s="2" t="n">
        <v>529</v>
      </c>
      <c r="P102" s="2" t="n">
        <f aca="false">O102/H102</f>
        <v>293.888888888889</v>
      </c>
      <c r="Q102" s="3" t="n">
        <f aca="false">(R102/P102-1)*-1</f>
        <v>0.220793950850662</v>
      </c>
      <c r="R102" s="2" t="n">
        <v>229</v>
      </c>
      <c r="S102" s="2" t="n">
        <v>206</v>
      </c>
    </row>
    <row r="103" customFormat="false" ht="14" hidden="false" customHeight="false" outlineLevel="0" collapsed="false">
      <c r="A103" s="1" t="s">
        <v>92</v>
      </c>
      <c r="B103" s="1" t="s">
        <v>20</v>
      </c>
      <c r="C103" s="1" t="s">
        <v>21</v>
      </c>
      <c r="D103" s="1" t="s">
        <v>93</v>
      </c>
      <c r="E103" s="1" t="s">
        <v>216</v>
      </c>
      <c r="F103" s="1" t="s">
        <v>217</v>
      </c>
      <c r="G103" s="1" t="s">
        <v>24</v>
      </c>
      <c r="H103" s="1" t="n">
        <v>1.8</v>
      </c>
      <c r="I103" s="1" t="s">
        <v>104</v>
      </c>
      <c r="J103" s="1" t="s">
        <v>26</v>
      </c>
      <c r="K103" s="1" t="s">
        <v>42</v>
      </c>
      <c r="L103" s="1" t="s">
        <v>32</v>
      </c>
      <c r="M103" s="1" t="s">
        <v>29</v>
      </c>
      <c r="N103" s="1" t="s">
        <v>30</v>
      </c>
      <c r="O103" s="2" t="n">
        <v>499</v>
      </c>
      <c r="P103" s="2" t="n">
        <f aca="false">O103/H103</f>
        <v>277.222222222222</v>
      </c>
      <c r="Q103" s="3" t="n">
        <f aca="false">(R103/P103-1)*-1</f>
        <v>0.173947895791583</v>
      </c>
      <c r="R103" s="2" t="n">
        <v>229</v>
      </c>
      <c r="S103" s="2" t="n">
        <v>209</v>
      </c>
    </row>
    <row r="104" customFormat="false" ht="14" hidden="false" customHeight="false" outlineLevel="0" collapsed="false">
      <c r="A104" s="1" t="s">
        <v>92</v>
      </c>
      <c r="B104" s="1" t="s">
        <v>20</v>
      </c>
      <c r="C104" s="1" t="s">
        <v>21</v>
      </c>
      <c r="D104" s="1" t="s">
        <v>93</v>
      </c>
      <c r="E104" s="1" t="s">
        <v>218</v>
      </c>
      <c r="F104" s="1" t="s">
        <v>219</v>
      </c>
      <c r="G104" s="1" t="s">
        <v>24</v>
      </c>
      <c r="H104" s="1" t="n">
        <v>1.8</v>
      </c>
      <c r="I104" s="1" t="s">
        <v>104</v>
      </c>
      <c r="J104" s="1" t="s">
        <v>26</v>
      </c>
      <c r="K104" s="1" t="s">
        <v>42</v>
      </c>
      <c r="L104" s="1" t="s">
        <v>32</v>
      </c>
      <c r="M104" s="1" t="s">
        <v>220</v>
      </c>
      <c r="N104" s="1" t="s">
        <v>30</v>
      </c>
      <c r="O104" s="2" t="n">
        <v>529</v>
      </c>
      <c r="P104" s="2" t="n">
        <f aca="false">O104/H104</f>
        <v>293.888888888889</v>
      </c>
      <c r="Q104" s="3" t="n">
        <f aca="false">(R104/P104-1)*-1</f>
        <v>0.220793950850662</v>
      </c>
      <c r="R104" s="2" t="n">
        <v>229</v>
      </c>
      <c r="S104" s="2" t="n">
        <v>215</v>
      </c>
    </row>
    <row r="105" customFormat="false" ht="14" hidden="false" customHeight="false" outlineLevel="0" collapsed="false">
      <c r="A105" s="1" t="s">
        <v>45</v>
      </c>
      <c r="B105" s="1" t="s">
        <v>20</v>
      </c>
      <c r="C105" s="1" t="s">
        <v>21</v>
      </c>
      <c r="D105" s="1" t="s">
        <v>46</v>
      </c>
      <c r="E105" s="1" t="s">
        <v>221</v>
      </c>
      <c r="F105" s="1" t="s">
        <v>222</v>
      </c>
      <c r="G105" s="1" t="s">
        <v>24</v>
      </c>
      <c r="H105" s="1" t="n">
        <v>1.44</v>
      </c>
      <c r="I105" s="1" t="s">
        <v>223</v>
      </c>
      <c r="J105" s="1" t="s">
        <v>26</v>
      </c>
      <c r="K105" s="1" t="s">
        <v>42</v>
      </c>
      <c r="L105" s="1" t="s">
        <v>28</v>
      </c>
      <c r="M105" s="1" t="s">
        <v>29</v>
      </c>
      <c r="N105" s="1" t="s">
        <v>99</v>
      </c>
      <c r="O105" s="2" t="n">
        <v>569</v>
      </c>
      <c r="P105" s="2" t="n">
        <f aca="false">O105/H105</f>
        <v>395.138888888889</v>
      </c>
      <c r="Q105" s="3" t="n">
        <f aca="false">(R105/P105-1)*-1</f>
        <v>0.420456942003515</v>
      </c>
      <c r="R105" s="2" t="n">
        <v>229</v>
      </c>
      <c r="S105" s="2" t="n">
        <f aca="false">R105-10</f>
        <v>219</v>
      </c>
    </row>
    <row r="106" customFormat="false" ht="14" hidden="false" customHeight="false" outlineLevel="0" collapsed="false">
      <c r="A106" s="1" t="s">
        <v>45</v>
      </c>
      <c r="B106" s="1" t="s">
        <v>20</v>
      </c>
      <c r="C106" s="1" t="s">
        <v>21</v>
      </c>
      <c r="D106" s="1" t="s">
        <v>46</v>
      </c>
      <c r="E106" s="1" t="s">
        <v>224</v>
      </c>
      <c r="F106" s="1" t="s">
        <v>225</v>
      </c>
      <c r="G106" s="1" t="s">
        <v>24</v>
      </c>
      <c r="H106" s="1" t="n">
        <v>2.11</v>
      </c>
      <c r="I106" s="1" t="s">
        <v>25</v>
      </c>
      <c r="J106" s="1" t="s">
        <v>26</v>
      </c>
      <c r="K106" s="1" t="s">
        <v>226</v>
      </c>
      <c r="L106" s="1" t="s">
        <v>63</v>
      </c>
      <c r="M106" s="1" t="s">
        <v>29</v>
      </c>
      <c r="N106" s="1" t="s">
        <v>30</v>
      </c>
      <c r="O106" s="2" t="n">
        <v>559</v>
      </c>
      <c r="P106" s="2" t="n">
        <f aca="false">O106/H106</f>
        <v>264.928909952607</v>
      </c>
      <c r="Q106" s="3" t="n">
        <f aca="false">(R106/P106-1)*-1</f>
        <v>0.13561717352415</v>
      </c>
      <c r="R106" s="2" t="n">
        <v>229</v>
      </c>
      <c r="S106" s="2" t="n">
        <f aca="false">R106-10</f>
        <v>219</v>
      </c>
    </row>
    <row r="107" customFormat="false" ht="14" hidden="false" customHeight="false" outlineLevel="0" collapsed="false">
      <c r="A107" s="1" t="s">
        <v>45</v>
      </c>
      <c r="B107" s="1" t="s">
        <v>20</v>
      </c>
      <c r="C107" s="1" t="s">
        <v>21</v>
      </c>
      <c r="D107" s="1" t="s">
        <v>46</v>
      </c>
      <c r="E107" s="1" t="s">
        <v>227</v>
      </c>
      <c r="F107" s="1" t="s">
        <v>228</v>
      </c>
      <c r="G107" s="1" t="s">
        <v>24</v>
      </c>
      <c r="H107" s="1" t="n">
        <v>2.11</v>
      </c>
      <c r="I107" s="1" t="s">
        <v>25</v>
      </c>
      <c r="J107" s="1" t="s">
        <v>26</v>
      </c>
      <c r="K107" s="1" t="s">
        <v>61</v>
      </c>
      <c r="L107" s="1" t="s">
        <v>32</v>
      </c>
      <c r="M107" s="1" t="s">
        <v>29</v>
      </c>
      <c r="N107" s="1" t="s">
        <v>30</v>
      </c>
      <c r="O107" s="2" t="n">
        <v>559</v>
      </c>
      <c r="P107" s="2" t="n">
        <f aca="false">O107/H107</f>
        <v>264.928909952607</v>
      </c>
      <c r="Q107" s="3" t="n">
        <f aca="false">(R107/P107-1)*-1</f>
        <v>0.13561717352415</v>
      </c>
      <c r="R107" s="2" t="n">
        <v>229</v>
      </c>
      <c r="S107" s="2" t="n">
        <f aca="false">R107-10</f>
        <v>219</v>
      </c>
    </row>
    <row r="108" customFormat="false" ht="14" hidden="false" customHeight="false" outlineLevel="0" collapsed="false">
      <c r="A108" s="1" t="s">
        <v>45</v>
      </c>
      <c r="B108" s="1" t="s">
        <v>20</v>
      </c>
      <c r="C108" s="1" t="s">
        <v>21</v>
      </c>
      <c r="D108" s="1" t="s">
        <v>46</v>
      </c>
      <c r="E108" s="1" t="s">
        <v>229</v>
      </c>
      <c r="F108" s="1" t="s">
        <v>230</v>
      </c>
      <c r="G108" s="1" t="s">
        <v>24</v>
      </c>
      <c r="H108" s="1" t="n">
        <v>2.11</v>
      </c>
      <c r="I108" s="1" t="s">
        <v>25</v>
      </c>
      <c r="J108" s="1" t="s">
        <v>26</v>
      </c>
      <c r="K108" s="1" t="s">
        <v>61</v>
      </c>
      <c r="L108" s="1" t="s">
        <v>231</v>
      </c>
      <c r="M108" s="1" t="s">
        <v>29</v>
      </c>
      <c r="N108" s="1" t="s">
        <v>30</v>
      </c>
      <c r="O108" s="2" t="n">
        <v>559</v>
      </c>
      <c r="P108" s="2" t="n">
        <f aca="false">O108/H108</f>
        <v>264.928909952607</v>
      </c>
      <c r="Q108" s="3" t="n">
        <f aca="false">(R108/P108-1)*-1</f>
        <v>0.13561717352415</v>
      </c>
      <c r="R108" s="2" t="n">
        <v>229</v>
      </c>
      <c r="S108" s="2" t="n">
        <f aca="false">R108-10</f>
        <v>219</v>
      </c>
    </row>
    <row r="109" customFormat="false" ht="14" hidden="false" customHeight="false" outlineLevel="0" collapsed="false">
      <c r="A109" s="1" t="s">
        <v>45</v>
      </c>
      <c r="B109" s="1" t="s">
        <v>20</v>
      </c>
      <c r="C109" s="1" t="s">
        <v>21</v>
      </c>
      <c r="D109" s="1" t="s">
        <v>46</v>
      </c>
      <c r="E109" s="1" t="s">
        <v>232</v>
      </c>
      <c r="F109" s="1" t="s">
        <v>233</v>
      </c>
      <c r="G109" s="1" t="s">
        <v>24</v>
      </c>
      <c r="H109" s="1" t="n">
        <v>2.11</v>
      </c>
      <c r="I109" s="1" t="s">
        <v>25</v>
      </c>
      <c r="J109" s="1" t="s">
        <v>26</v>
      </c>
      <c r="K109" s="1" t="s">
        <v>226</v>
      </c>
      <c r="L109" s="1" t="s">
        <v>234</v>
      </c>
      <c r="M109" s="1" t="s">
        <v>29</v>
      </c>
      <c r="N109" s="1" t="s">
        <v>30</v>
      </c>
      <c r="O109" s="2" t="n">
        <v>559</v>
      </c>
      <c r="P109" s="2" t="n">
        <f aca="false">O109/H109</f>
        <v>264.928909952607</v>
      </c>
      <c r="Q109" s="3" t="n">
        <f aca="false">(R109/P109-1)*-1</f>
        <v>0.13561717352415</v>
      </c>
      <c r="R109" s="2" t="n">
        <v>229</v>
      </c>
      <c r="S109" s="2" t="n">
        <f aca="false">R109-10</f>
        <v>219</v>
      </c>
    </row>
    <row r="110" customFormat="false" ht="14" hidden="false" customHeight="false" outlineLevel="0" collapsed="false">
      <c r="A110" s="1" t="s">
        <v>45</v>
      </c>
      <c r="B110" s="1" t="s">
        <v>20</v>
      </c>
      <c r="C110" s="1" t="s">
        <v>21</v>
      </c>
      <c r="D110" s="1" t="s">
        <v>46</v>
      </c>
      <c r="E110" s="1" t="s">
        <v>235</v>
      </c>
      <c r="F110" s="1" t="s">
        <v>236</v>
      </c>
      <c r="G110" s="1" t="s">
        <v>24</v>
      </c>
      <c r="H110" s="1" t="n">
        <v>2.11</v>
      </c>
      <c r="I110" s="1" t="s">
        <v>25</v>
      </c>
      <c r="J110" s="1" t="s">
        <v>26</v>
      </c>
      <c r="K110" s="1" t="s">
        <v>226</v>
      </c>
      <c r="L110" s="1" t="s">
        <v>234</v>
      </c>
      <c r="M110" s="1" t="s">
        <v>29</v>
      </c>
      <c r="N110" s="1" t="s">
        <v>30</v>
      </c>
      <c r="O110" s="2" t="n">
        <v>559</v>
      </c>
      <c r="P110" s="2" t="n">
        <f aca="false">O110/H110</f>
        <v>264.928909952607</v>
      </c>
      <c r="Q110" s="3" t="n">
        <f aca="false">(R110/P110-1)*-1</f>
        <v>0.13561717352415</v>
      </c>
      <c r="R110" s="2" t="n">
        <v>229</v>
      </c>
      <c r="S110" s="2" t="n">
        <f aca="false">R110-10</f>
        <v>219</v>
      </c>
    </row>
    <row r="111" customFormat="false" ht="14" hidden="false" customHeight="false" outlineLevel="0" collapsed="false">
      <c r="A111" s="1" t="s">
        <v>45</v>
      </c>
      <c r="B111" s="1" t="s">
        <v>20</v>
      </c>
      <c r="C111" s="1" t="s">
        <v>21</v>
      </c>
      <c r="D111" s="1" t="s">
        <v>46</v>
      </c>
      <c r="E111" s="1" t="s">
        <v>237</v>
      </c>
      <c r="F111" s="1" t="s">
        <v>238</v>
      </c>
      <c r="G111" s="1" t="s">
        <v>24</v>
      </c>
      <c r="H111" s="1" t="n">
        <v>2.11</v>
      </c>
      <c r="I111" s="1" t="s">
        <v>25</v>
      </c>
      <c r="J111" s="1" t="s">
        <v>26</v>
      </c>
      <c r="K111" s="1" t="s">
        <v>226</v>
      </c>
      <c r="L111" s="1" t="s">
        <v>56</v>
      </c>
      <c r="M111" s="1" t="s">
        <v>29</v>
      </c>
      <c r="N111" s="1" t="s">
        <v>30</v>
      </c>
      <c r="O111" s="2" t="n">
        <v>559</v>
      </c>
      <c r="P111" s="2" t="n">
        <f aca="false">O111/H111</f>
        <v>264.928909952607</v>
      </c>
      <c r="Q111" s="3" t="n">
        <f aca="false">(R111/P111-1)*-1</f>
        <v>0.13561717352415</v>
      </c>
      <c r="R111" s="2" t="n">
        <v>229</v>
      </c>
      <c r="S111" s="2" t="n">
        <f aca="false">R111-10</f>
        <v>219</v>
      </c>
    </row>
    <row r="112" customFormat="false" ht="14" hidden="false" customHeight="false" outlineLevel="0" collapsed="false">
      <c r="A112" s="1" t="s">
        <v>45</v>
      </c>
      <c r="B112" s="1" t="s">
        <v>20</v>
      </c>
      <c r="C112" s="1" t="s">
        <v>21</v>
      </c>
      <c r="D112" s="1" t="s">
        <v>46</v>
      </c>
      <c r="E112" s="1" t="s">
        <v>239</v>
      </c>
      <c r="F112" s="1" t="s">
        <v>240</v>
      </c>
      <c r="G112" s="1" t="s">
        <v>24</v>
      </c>
      <c r="H112" s="1" t="n">
        <v>1.82</v>
      </c>
      <c r="I112" s="1" t="s">
        <v>83</v>
      </c>
      <c r="J112" s="1" t="s">
        <v>26</v>
      </c>
      <c r="K112" s="1" t="s">
        <v>42</v>
      </c>
      <c r="L112" s="1" t="s">
        <v>28</v>
      </c>
      <c r="M112" s="1" t="s">
        <v>29</v>
      </c>
      <c r="N112" s="1" t="s">
        <v>30</v>
      </c>
      <c r="O112" s="2" t="n">
        <v>659</v>
      </c>
      <c r="P112" s="2" t="n">
        <f aca="false">O112/H112</f>
        <v>362.087912087912</v>
      </c>
      <c r="Q112" s="3" t="n">
        <f aca="false">(R112/P112-1)*-1</f>
        <v>0.367556904400607</v>
      </c>
      <c r="R112" s="2" t="n">
        <v>229</v>
      </c>
      <c r="S112" s="2" t="n">
        <f aca="false">R112-10</f>
        <v>219</v>
      </c>
    </row>
    <row r="113" customFormat="false" ht="14" hidden="false" customHeight="false" outlineLevel="0" collapsed="false">
      <c r="A113" s="1" t="s">
        <v>92</v>
      </c>
      <c r="B113" s="1" t="s">
        <v>20</v>
      </c>
      <c r="C113" s="1" t="s">
        <v>21</v>
      </c>
      <c r="D113" s="1" t="s">
        <v>93</v>
      </c>
      <c r="E113" s="1" t="s">
        <v>241</v>
      </c>
      <c r="F113" s="1" t="s">
        <v>242</v>
      </c>
      <c r="G113" s="1" t="s">
        <v>24</v>
      </c>
      <c r="H113" s="1" t="n">
        <v>1.8</v>
      </c>
      <c r="I113" s="1" t="s">
        <v>104</v>
      </c>
      <c r="J113" s="1" t="s">
        <v>26</v>
      </c>
      <c r="K113" s="1" t="s">
        <v>42</v>
      </c>
      <c r="L113" s="1" t="s">
        <v>28</v>
      </c>
      <c r="M113" s="1" t="s">
        <v>29</v>
      </c>
      <c r="N113" s="1" t="s">
        <v>30</v>
      </c>
      <c r="O113" s="2" t="n">
        <v>499</v>
      </c>
      <c r="P113" s="2" t="n">
        <f aca="false">O113/H113</f>
        <v>277.222222222222</v>
      </c>
      <c r="Q113" s="3" t="n">
        <f aca="false">(R113/P113-1)*-1</f>
        <v>0.173947895791583</v>
      </c>
      <c r="R113" s="2" t="n">
        <v>229</v>
      </c>
      <c r="S113" s="2" t="n">
        <v>219</v>
      </c>
    </row>
    <row r="114" customFormat="false" ht="14" hidden="false" customHeight="false" outlineLevel="0" collapsed="false">
      <c r="A114" s="1" t="s">
        <v>19</v>
      </c>
      <c r="B114" s="1" t="s">
        <v>20</v>
      </c>
      <c r="C114" s="1" t="s">
        <v>21</v>
      </c>
      <c r="D114" s="1" t="s">
        <v>22</v>
      </c>
      <c r="E114" s="10" t="n">
        <v>520224251007151</v>
      </c>
      <c r="F114" s="1" t="s">
        <v>243</v>
      </c>
      <c r="G114" s="1" t="s">
        <v>24</v>
      </c>
      <c r="H114" s="1" t="n">
        <v>1.53</v>
      </c>
      <c r="I114" s="1" t="s">
        <v>147</v>
      </c>
      <c r="J114" s="1" t="s">
        <v>26</v>
      </c>
      <c r="K114" s="1" t="s">
        <v>61</v>
      </c>
      <c r="L114" s="1" t="s">
        <v>56</v>
      </c>
      <c r="M114" s="1" t="s">
        <v>43</v>
      </c>
      <c r="N114" s="1" t="s">
        <v>30</v>
      </c>
      <c r="O114" s="2" t="n">
        <v>439</v>
      </c>
      <c r="P114" s="2" t="n">
        <f aca="false">O114/H114</f>
        <v>286.928104575163</v>
      </c>
      <c r="Q114" s="3" t="n">
        <f aca="false">(R114/P114-1)*-1</f>
        <v>0.167038724373576</v>
      </c>
      <c r="R114" s="2" t="n">
        <v>239</v>
      </c>
      <c r="S114" s="2" t="n">
        <v>0</v>
      </c>
    </row>
    <row r="115" customFormat="false" ht="14" hidden="false" customHeight="false" outlineLevel="0" collapsed="false">
      <c r="A115" s="1" t="s">
        <v>19</v>
      </c>
      <c r="B115" s="1" t="s">
        <v>20</v>
      </c>
      <c r="C115" s="1" t="s">
        <v>21</v>
      </c>
      <c r="D115" s="1" t="s">
        <v>22</v>
      </c>
      <c r="E115" s="10" t="n">
        <v>522915408067151</v>
      </c>
      <c r="F115" s="1" t="s">
        <v>244</v>
      </c>
      <c r="G115" s="1" t="s">
        <v>24</v>
      </c>
      <c r="H115" s="1" t="n">
        <v>1.53</v>
      </c>
      <c r="I115" s="1" t="s">
        <v>147</v>
      </c>
      <c r="J115" s="1" t="s">
        <v>26</v>
      </c>
      <c r="K115" s="1" t="s">
        <v>61</v>
      </c>
      <c r="L115" s="1" t="s">
        <v>56</v>
      </c>
      <c r="M115" s="1" t="s">
        <v>29</v>
      </c>
      <c r="N115" s="1" t="s">
        <v>30</v>
      </c>
      <c r="O115" s="2" t="n">
        <v>439</v>
      </c>
      <c r="P115" s="2" t="n">
        <f aca="false">O115/H115</f>
        <v>286.928104575163</v>
      </c>
      <c r="Q115" s="3" t="n">
        <f aca="false">(R115/P115-1)*-1</f>
        <v>0.167038724373576</v>
      </c>
      <c r="R115" s="2" t="n">
        <v>239</v>
      </c>
      <c r="S115" s="2" t="n">
        <v>0</v>
      </c>
    </row>
    <row r="116" customFormat="false" ht="14" hidden="false" customHeight="false" outlineLevel="0" collapsed="false">
      <c r="A116" s="1" t="s">
        <v>19</v>
      </c>
      <c r="B116" s="1" t="s">
        <v>20</v>
      </c>
      <c r="C116" s="1" t="s">
        <v>21</v>
      </c>
      <c r="D116" s="1" t="s">
        <v>22</v>
      </c>
      <c r="E116" s="10" t="n">
        <v>522915408156151</v>
      </c>
      <c r="F116" s="1" t="s">
        <v>245</v>
      </c>
      <c r="G116" s="1" t="s">
        <v>24</v>
      </c>
      <c r="H116" s="1" t="n">
        <v>1.53</v>
      </c>
      <c r="I116" s="1" t="s">
        <v>147</v>
      </c>
      <c r="J116" s="1" t="s">
        <v>26</v>
      </c>
      <c r="K116" s="1" t="s">
        <v>61</v>
      </c>
      <c r="L116" s="1" t="s">
        <v>63</v>
      </c>
      <c r="M116" s="1" t="s">
        <v>29</v>
      </c>
      <c r="N116" s="1" t="s">
        <v>30</v>
      </c>
      <c r="O116" s="2" t="n">
        <v>439</v>
      </c>
      <c r="P116" s="2" t="n">
        <f aca="false">O116/H116</f>
        <v>286.928104575163</v>
      </c>
      <c r="Q116" s="3" t="n">
        <f aca="false">(R116/P116-1)*-1</f>
        <v>0.167038724373576</v>
      </c>
      <c r="R116" s="2" t="n">
        <v>239</v>
      </c>
      <c r="S116" s="2" t="n">
        <v>0</v>
      </c>
    </row>
    <row r="117" customFormat="false" ht="14" hidden="false" customHeight="false" outlineLevel="0" collapsed="false">
      <c r="A117" s="1" t="s">
        <v>19</v>
      </c>
      <c r="B117" s="1" t="s">
        <v>20</v>
      </c>
      <c r="C117" s="1" t="s">
        <v>21</v>
      </c>
      <c r="D117" s="1" t="s">
        <v>22</v>
      </c>
      <c r="E117" s="10" t="n">
        <v>522841143931201</v>
      </c>
      <c r="F117" s="1" t="s">
        <v>246</v>
      </c>
      <c r="G117" s="1" t="s">
        <v>24</v>
      </c>
      <c r="H117" s="1" t="n">
        <v>1.83</v>
      </c>
      <c r="I117" s="1" t="s">
        <v>83</v>
      </c>
      <c r="J117" s="1" t="s">
        <v>26</v>
      </c>
      <c r="K117" s="1" t="s">
        <v>27</v>
      </c>
      <c r="L117" s="1" t="s">
        <v>56</v>
      </c>
      <c r="M117" s="1" t="s">
        <v>43</v>
      </c>
      <c r="N117" s="1" t="s">
        <v>30</v>
      </c>
      <c r="O117" s="2" t="n">
        <v>529</v>
      </c>
      <c r="P117" s="2" t="n">
        <f aca="false">O117/H117</f>
        <v>289.071038251366</v>
      </c>
      <c r="Q117" s="3" t="n">
        <f aca="false">(R117/P117-1)*-1</f>
        <v>0.173213610586011</v>
      </c>
      <c r="R117" s="2" t="n">
        <v>239</v>
      </c>
      <c r="S117" s="2" t="n">
        <v>0</v>
      </c>
    </row>
    <row r="118" customFormat="false" ht="14" hidden="false" customHeight="false" outlineLevel="0" collapsed="false">
      <c r="A118" s="1" t="s">
        <v>92</v>
      </c>
      <c r="B118" s="1" t="s">
        <v>20</v>
      </c>
      <c r="C118" s="1" t="s">
        <v>21</v>
      </c>
      <c r="D118" s="1" t="s">
        <v>93</v>
      </c>
      <c r="E118" s="1" t="s">
        <v>247</v>
      </c>
      <c r="F118" s="1" t="s">
        <v>248</v>
      </c>
      <c r="G118" s="1" t="s">
        <v>24</v>
      </c>
      <c r="H118" s="1" t="n">
        <v>1.8</v>
      </c>
      <c r="I118" s="1" t="s">
        <v>104</v>
      </c>
      <c r="J118" s="1" t="s">
        <v>26</v>
      </c>
      <c r="K118" s="1" t="s">
        <v>42</v>
      </c>
      <c r="L118" s="1" t="s">
        <v>63</v>
      </c>
      <c r="M118" s="1" t="s">
        <v>220</v>
      </c>
      <c r="N118" s="1" t="s">
        <v>30</v>
      </c>
      <c r="O118" s="2" t="n">
        <v>499</v>
      </c>
      <c r="P118" s="2" t="n">
        <f aca="false">O118/H118</f>
        <v>277.222222222222</v>
      </c>
      <c r="Q118" s="3" t="n">
        <f aca="false">(R118/P118-1)*-1</f>
        <v>0.137875751503006</v>
      </c>
      <c r="R118" s="2" t="n">
        <v>239</v>
      </c>
      <c r="S118" s="2" t="n">
        <v>209</v>
      </c>
    </row>
    <row r="119" customFormat="false" ht="14" hidden="false" customHeight="false" outlineLevel="0" collapsed="false">
      <c r="A119" s="1" t="s">
        <v>92</v>
      </c>
      <c r="B119" s="1" t="s">
        <v>20</v>
      </c>
      <c r="C119" s="1" t="s">
        <v>21</v>
      </c>
      <c r="D119" s="1" t="s">
        <v>93</v>
      </c>
      <c r="E119" s="1" t="s">
        <v>249</v>
      </c>
      <c r="F119" s="1" t="s">
        <v>250</v>
      </c>
      <c r="G119" s="1" t="s">
        <v>24</v>
      </c>
      <c r="H119" s="1" t="n">
        <v>1.8</v>
      </c>
      <c r="I119" s="1" t="s">
        <v>104</v>
      </c>
      <c r="J119" s="1" t="s">
        <v>26</v>
      </c>
      <c r="K119" s="1" t="s">
        <v>27</v>
      </c>
      <c r="L119" s="1" t="s">
        <v>97</v>
      </c>
      <c r="M119" s="1" t="s">
        <v>98</v>
      </c>
      <c r="N119" s="1" t="s">
        <v>30</v>
      </c>
      <c r="O119" s="2" t="n">
        <v>589</v>
      </c>
      <c r="P119" s="2" t="n">
        <f aca="false">O119/H119</f>
        <v>327.222222222222</v>
      </c>
      <c r="Q119" s="3" t="n">
        <f aca="false">(R119/P119-1)*-1</f>
        <v>0.269609507640068</v>
      </c>
      <c r="R119" s="2" t="n">
        <v>239</v>
      </c>
      <c r="S119" s="2" t="n">
        <v>216</v>
      </c>
    </row>
    <row r="120" customFormat="false" ht="14" hidden="false" customHeight="false" outlineLevel="0" collapsed="false">
      <c r="A120" s="1" t="s">
        <v>92</v>
      </c>
      <c r="B120" s="1" t="s">
        <v>20</v>
      </c>
      <c r="C120" s="1" t="s">
        <v>21</v>
      </c>
      <c r="D120" s="1" t="s">
        <v>93</v>
      </c>
      <c r="E120" s="1" t="s">
        <v>251</v>
      </c>
      <c r="F120" s="1" t="s">
        <v>252</v>
      </c>
      <c r="G120" s="1" t="s">
        <v>24</v>
      </c>
      <c r="H120" s="1" t="n">
        <v>1.98</v>
      </c>
      <c r="I120" s="1" t="s">
        <v>253</v>
      </c>
      <c r="J120" s="1" t="s">
        <v>26</v>
      </c>
      <c r="K120" s="1" t="s">
        <v>42</v>
      </c>
      <c r="L120" s="1" t="s">
        <v>131</v>
      </c>
      <c r="M120" s="1" t="s">
        <v>29</v>
      </c>
      <c r="N120" s="1" t="s">
        <v>99</v>
      </c>
      <c r="O120" s="2" t="n">
        <v>596</v>
      </c>
      <c r="P120" s="2" t="n">
        <f aca="false">O120/H120</f>
        <v>301.010101010101</v>
      </c>
      <c r="Q120" s="3" t="n">
        <f aca="false">(R120/P120-1)*-1</f>
        <v>0.206006711409396</v>
      </c>
      <c r="R120" s="2" t="n">
        <v>239</v>
      </c>
      <c r="S120" s="2" t="n">
        <v>229</v>
      </c>
    </row>
    <row r="121" customFormat="false" ht="14" hidden="false" customHeight="false" outlineLevel="0" collapsed="false">
      <c r="A121" s="1" t="s">
        <v>45</v>
      </c>
      <c r="B121" s="1" t="s">
        <v>20</v>
      </c>
      <c r="C121" s="1" t="s">
        <v>21</v>
      </c>
      <c r="D121" s="1" t="s">
        <v>46</v>
      </c>
      <c r="E121" s="1" t="s">
        <v>254</v>
      </c>
      <c r="F121" s="1" t="s">
        <v>255</v>
      </c>
      <c r="G121" s="1" t="s">
        <v>24</v>
      </c>
      <c r="H121" s="1" t="n">
        <v>1.8</v>
      </c>
      <c r="I121" s="1" t="s">
        <v>256</v>
      </c>
      <c r="J121" s="1" t="s">
        <v>26</v>
      </c>
      <c r="K121" s="1" t="s">
        <v>27</v>
      </c>
      <c r="L121" s="1" t="s">
        <v>56</v>
      </c>
      <c r="M121" s="1" t="s">
        <v>29</v>
      </c>
      <c r="N121" s="1" t="s">
        <v>99</v>
      </c>
      <c r="O121" s="2" t="n">
        <v>549</v>
      </c>
      <c r="P121" s="2" t="n">
        <f aca="false">O121/H121</f>
        <v>305</v>
      </c>
      <c r="Q121" s="3" t="n">
        <f aca="false">(R121/P121-1)*-1</f>
        <v>0.216393442622951</v>
      </c>
      <c r="R121" s="2" t="n">
        <v>239</v>
      </c>
      <c r="S121" s="2" t="n">
        <f aca="false">R121-10</f>
        <v>229</v>
      </c>
    </row>
    <row r="122" customFormat="false" ht="14" hidden="false" customHeight="false" outlineLevel="0" collapsed="false">
      <c r="A122" s="1" t="s">
        <v>45</v>
      </c>
      <c r="B122" s="1" t="s">
        <v>20</v>
      </c>
      <c r="C122" s="1" t="s">
        <v>21</v>
      </c>
      <c r="D122" s="1" t="s">
        <v>46</v>
      </c>
      <c r="E122" s="1" t="s">
        <v>257</v>
      </c>
      <c r="F122" s="1" t="s">
        <v>258</v>
      </c>
      <c r="G122" s="1" t="s">
        <v>24</v>
      </c>
      <c r="H122" s="1" t="n">
        <v>1.8</v>
      </c>
      <c r="I122" s="1" t="s">
        <v>256</v>
      </c>
      <c r="J122" s="1" t="s">
        <v>26</v>
      </c>
      <c r="K122" s="1" t="s">
        <v>27</v>
      </c>
      <c r="L122" s="1" t="s">
        <v>56</v>
      </c>
      <c r="M122" s="1" t="s">
        <v>43</v>
      </c>
      <c r="N122" s="1" t="s">
        <v>99</v>
      </c>
      <c r="O122" s="2" t="n">
        <v>569</v>
      </c>
      <c r="P122" s="2" t="n">
        <f aca="false">O122/H122</f>
        <v>316.111111111111</v>
      </c>
      <c r="Q122" s="3" t="n">
        <f aca="false">(R122/P122-1)*-1</f>
        <v>0.212302284710018</v>
      </c>
      <c r="R122" s="2" t="n">
        <v>249</v>
      </c>
      <c r="S122" s="2" t="n">
        <f aca="false">R122-10</f>
        <v>239</v>
      </c>
    </row>
    <row r="123" customFormat="false" ht="14" hidden="false" customHeight="false" outlineLevel="0" collapsed="false">
      <c r="A123" s="1" t="s">
        <v>19</v>
      </c>
      <c r="B123" s="1" t="s">
        <v>20</v>
      </c>
      <c r="C123" s="1" t="s">
        <v>21</v>
      </c>
      <c r="D123" s="1" t="s">
        <v>22</v>
      </c>
      <c r="E123" s="10" t="n">
        <v>521424411124031</v>
      </c>
      <c r="F123" s="1" t="s">
        <v>259</v>
      </c>
      <c r="G123" s="1" t="s">
        <v>24</v>
      </c>
      <c r="H123" s="1" t="n">
        <v>1.68</v>
      </c>
      <c r="I123" s="1" t="s">
        <v>260</v>
      </c>
      <c r="J123" s="1" t="s">
        <v>26</v>
      </c>
      <c r="K123" s="1" t="s">
        <v>61</v>
      </c>
      <c r="L123" s="1" t="s">
        <v>74</v>
      </c>
      <c r="M123" s="1" t="s">
        <v>43</v>
      </c>
      <c r="N123" s="1" t="s">
        <v>30</v>
      </c>
      <c r="O123" s="2" t="n">
        <v>519</v>
      </c>
      <c r="P123" s="2" t="n">
        <f aca="false">O123/H123</f>
        <v>308.928571428571</v>
      </c>
      <c r="Q123" s="3" t="n">
        <f aca="false">(R123/P123-1)*-1</f>
        <v>0.161618497109827</v>
      </c>
      <c r="R123" s="2" t="n">
        <v>259</v>
      </c>
      <c r="S123" s="2" t="n">
        <v>0</v>
      </c>
    </row>
    <row r="124" customFormat="false" ht="14" hidden="false" customHeight="false" outlineLevel="0" collapsed="false">
      <c r="A124" s="1" t="s">
        <v>19</v>
      </c>
      <c r="B124" s="1" t="s">
        <v>20</v>
      </c>
      <c r="C124" s="1" t="s">
        <v>21</v>
      </c>
      <c r="D124" s="1" t="s">
        <v>22</v>
      </c>
      <c r="E124" s="10" t="n">
        <v>521424411007031</v>
      </c>
      <c r="F124" s="1" t="s">
        <v>261</v>
      </c>
      <c r="G124" s="1" t="s">
        <v>24</v>
      </c>
      <c r="H124" s="1" t="n">
        <v>1.68</v>
      </c>
      <c r="I124" s="1" t="s">
        <v>260</v>
      </c>
      <c r="J124" s="1" t="s">
        <v>26</v>
      </c>
      <c r="K124" s="1" t="s">
        <v>61</v>
      </c>
      <c r="L124" s="1" t="s">
        <v>56</v>
      </c>
      <c r="M124" s="1" t="s">
        <v>43</v>
      </c>
      <c r="N124" s="1" t="s">
        <v>30</v>
      </c>
      <c r="O124" s="2" t="n">
        <v>519</v>
      </c>
      <c r="P124" s="2" t="n">
        <f aca="false">O124/H124</f>
        <v>308.928571428571</v>
      </c>
      <c r="Q124" s="3" t="n">
        <f aca="false">(R124/P124-1)*-1</f>
        <v>0.161618497109827</v>
      </c>
      <c r="R124" s="2" t="n">
        <v>259</v>
      </c>
      <c r="S124" s="2" t="n">
        <v>0</v>
      </c>
    </row>
    <row r="125" customFormat="false" ht="14" hidden="false" customHeight="false" outlineLevel="0" collapsed="false">
      <c r="A125" s="1" t="s">
        <v>19</v>
      </c>
      <c r="B125" s="1" t="s">
        <v>20</v>
      </c>
      <c r="C125" s="1" t="s">
        <v>21</v>
      </c>
      <c r="D125" s="1" t="s">
        <v>22</v>
      </c>
      <c r="E125" s="10" t="n">
        <v>521424411125031</v>
      </c>
      <c r="F125" s="1" t="s">
        <v>262</v>
      </c>
      <c r="G125" s="1" t="s">
        <v>24</v>
      </c>
      <c r="H125" s="1" t="n">
        <v>1.68</v>
      </c>
      <c r="I125" s="1" t="s">
        <v>260</v>
      </c>
      <c r="J125" s="1" t="s">
        <v>26</v>
      </c>
      <c r="K125" s="1" t="s">
        <v>61</v>
      </c>
      <c r="L125" s="1" t="s">
        <v>263</v>
      </c>
      <c r="M125" s="1" t="s">
        <v>43</v>
      </c>
      <c r="N125" s="1" t="s">
        <v>30</v>
      </c>
      <c r="O125" s="2" t="n">
        <v>519</v>
      </c>
      <c r="P125" s="2" t="n">
        <f aca="false">O125/H125</f>
        <v>308.928571428571</v>
      </c>
      <c r="Q125" s="3" t="n">
        <f aca="false">(R125/P125-1)*-1</f>
        <v>0.161618497109827</v>
      </c>
      <c r="R125" s="2" t="n">
        <v>259</v>
      </c>
      <c r="S125" s="2" t="n">
        <v>0</v>
      </c>
    </row>
    <row r="126" customFormat="false" ht="14" hidden="false" customHeight="false" outlineLevel="0" collapsed="false">
      <c r="A126" s="1" t="s">
        <v>19</v>
      </c>
      <c r="B126" s="1" t="s">
        <v>20</v>
      </c>
      <c r="C126" s="1" t="s">
        <v>21</v>
      </c>
      <c r="D126" s="1" t="s">
        <v>22</v>
      </c>
      <c r="E126" s="10" t="n">
        <v>521424411011031</v>
      </c>
      <c r="F126" s="1" t="s">
        <v>264</v>
      </c>
      <c r="G126" s="1" t="s">
        <v>24</v>
      </c>
      <c r="H126" s="1" t="n">
        <v>1.68</v>
      </c>
      <c r="I126" s="1" t="s">
        <v>260</v>
      </c>
      <c r="J126" s="1" t="s">
        <v>26</v>
      </c>
      <c r="K126" s="1" t="s">
        <v>61</v>
      </c>
      <c r="L126" s="1" t="s">
        <v>32</v>
      </c>
      <c r="M126" s="1" t="s">
        <v>43</v>
      </c>
      <c r="N126" s="1" t="s">
        <v>30</v>
      </c>
      <c r="O126" s="2" t="n">
        <v>519</v>
      </c>
      <c r="P126" s="2" t="n">
        <f aca="false">O126/H126</f>
        <v>308.928571428571</v>
      </c>
      <c r="Q126" s="3" t="n">
        <f aca="false">(R126/P126-1)*-1</f>
        <v>0.161618497109827</v>
      </c>
      <c r="R126" s="2" t="n">
        <v>259</v>
      </c>
      <c r="S126" s="2" t="n">
        <v>0</v>
      </c>
    </row>
    <row r="127" customFormat="false" ht="14" hidden="false" customHeight="false" outlineLevel="0" collapsed="false">
      <c r="A127" s="1" t="s">
        <v>19</v>
      </c>
      <c r="B127" s="1" t="s">
        <v>20</v>
      </c>
      <c r="C127" s="1" t="s">
        <v>21</v>
      </c>
      <c r="D127" s="1" t="s">
        <v>22</v>
      </c>
      <c r="E127" s="10" t="n">
        <v>521424411016031</v>
      </c>
      <c r="F127" s="1" t="s">
        <v>265</v>
      </c>
      <c r="G127" s="1" t="s">
        <v>24</v>
      </c>
      <c r="H127" s="1" t="n">
        <v>1.68</v>
      </c>
      <c r="I127" s="1" t="s">
        <v>260</v>
      </c>
      <c r="J127" s="1" t="s">
        <v>26</v>
      </c>
      <c r="K127" s="1" t="s">
        <v>61</v>
      </c>
      <c r="L127" s="1" t="s">
        <v>63</v>
      </c>
      <c r="M127" s="1" t="s">
        <v>43</v>
      </c>
      <c r="N127" s="1" t="s">
        <v>30</v>
      </c>
      <c r="O127" s="2" t="n">
        <v>519</v>
      </c>
      <c r="P127" s="2" t="n">
        <f aca="false">O127/H127</f>
        <v>308.928571428571</v>
      </c>
      <c r="Q127" s="3" t="n">
        <f aca="false">(R127/P127-1)*-1</f>
        <v>0.161618497109827</v>
      </c>
      <c r="R127" s="2" t="n">
        <v>259</v>
      </c>
      <c r="S127" s="2" t="n">
        <v>0</v>
      </c>
    </row>
    <row r="128" customFormat="false" ht="14" hidden="false" customHeight="false" outlineLevel="0" collapsed="false">
      <c r="A128" s="1" t="s">
        <v>19</v>
      </c>
      <c r="B128" s="1" t="s">
        <v>20</v>
      </c>
      <c r="C128" s="1" t="s">
        <v>21</v>
      </c>
      <c r="D128" s="1" t="s">
        <v>22</v>
      </c>
      <c r="E128" s="10" t="n">
        <v>521424411098031</v>
      </c>
      <c r="F128" s="1" t="s">
        <v>266</v>
      </c>
      <c r="G128" s="1" t="s">
        <v>24</v>
      </c>
      <c r="H128" s="1" t="n">
        <v>1.68</v>
      </c>
      <c r="I128" s="1" t="s">
        <v>260</v>
      </c>
      <c r="J128" s="1" t="s">
        <v>26</v>
      </c>
      <c r="K128" s="1" t="s">
        <v>61</v>
      </c>
      <c r="L128" s="1" t="s">
        <v>78</v>
      </c>
      <c r="M128" s="1" t="s">
        <v>43</v>
      </c>
      <c r="N128" s="1" t="s">
        <v>30</v>
      </c>
      <c r="O128" s="2" t="n">
        <v>519</v>
      </c>
      <c r="P128" s="2" t="n">
        <f aca="false">O128/H128</f>
        <v>308.928571428571</v>
      </c>
      <c r="Q128" s="3" t="n">
        <f aca="false">(R128/P128-1)*-1</f>
        <v>0.161618497109827</v>
      </c>
      <c r="R128" s="2" t="n">
        <v>259</v>
      </c>
      <c r="S128" s="2" t="n">
        <v>0</v>
      </c>
    </row>
    <row r="129" customFormat="false" ht="14" hidden="false" customHeight="false" outlineLevel="0" collapsed="false">
      <c r="A129" s="1" t="s">
        <v>19</v>
      </c>
      <c r="B129" s="1" t="s">
        <v>20</v>
      </c>
      <c r="C129" s="1" t="s">
        <v>21</v>
      </c>
      <c r="D129" s="1" t="s">
        <v>22</v>
      </c>
      <c r="E129" s="10" t="n">
        <v>522533143067011</v>
      </c>
      <c r="F129" s="1" t="s">
        <v>267</v>
      </c>
      <c r="G129" s="1" t="s">
        <v>24</v>
      </c>
      <c r="H129" s="1" t="n">
        <v>1.8</v>
      </c>
      <c r="I129" s="1" t="s">
        <v>256</v>
      </c>
      <c r="J129" s="1" t="s">
        <v>26</v>
      </c>
      <c r="K129" s="1" t="s">
        <v>27</v>
      </c>
      <c r="L129" s="1" t="s">
        <v>56</v>
      </c>
      <c r="M129" s="1" t="s">
        <v>43</v>
      </c>
      <c r="N129" s="1" t="s">
        <v>99</v>
      </c>
      <c r="O129" s="2" t="n">
        <v>569</v>
      </c>
      <c r="P129" s="2" t="n">
        <f aca="false">O129/H129</f>
        <v>316.111111111111</v>
      </c>
      <c r="Q129" s="3" t="n">
        <f aca="false">(R129/P129-1)*-1</f>
        <v>0.18066783831283</v>
      </c>
      <c r="R129" s="2" t="n">
        <v>259</v>
      </c>
      <c r="S129" s="2" t="n">
        <v>0</v>
      </c>
    </row>
    <row r="130" customFormat="false" ht="14" hidden="false" customHeight="false" outlineLevel="0" collapsed="false">
      <c r="A130" s="1" t="s">
        <v>45</v>
      </c>
      <c r="B130" s="1" t="s">
        <v>20</v>
      </c>
      <c r="C130" s="1" t="s">
        <v>21</v>
      </c>
      <c r="D130" s="1" t="s">
        <v>46</v>
      </c>
      <c r="E130" s="1" t="s">
        <v>268</v>
      </c>
      <c r="F130" s="1" t="s">
        <v>269</v>
      </c>
      <c r="G130" s="1" t="s">
        <v>24</v>
      </c>
      <c r="H130" s="1" t="n">
        <v>1.19</v>
      </c>
      <c r="I130" s="1" t="s">
        <v>270</v>
      </c>
      <c r="J130" s="1" t="s">
        <v>26</v>
      </c>
      <c r="K130" s="1" t="s">
        <v>58</v>
      </c>
      <c r="L130" s="1" t="s">
        <v>59</v>
      </c>
      <c r="M130" s="1" t="s">
        <v>29</v>
      </c>
      <c r="N130" s="1" t="s">
        <v>99</v>
      </c>
      <c r="O130" s="2" t="n">
        <v>549</v>
      </c>
      <c r="P130" s="2" t="n">
        <f aca="false">O130/H130</f>
        <v>461.344537815126</v>
      </c>
      <c r="Q130" s="3" t="n">
        <f aca="false">(R130/P130-1)*-1</f>
        <v>0.156812386156649</v>
      </c>
      <c r="R130" s="2" t="n">
        <v>389</v>
      </c>
      <c r="S130" s="2" t="n">
        <f aca="false">R130-10</f>
        <v>379</v>
      </c>
    </row>
    <row r="131" customFormat="false" ht="14" hidden="false" customHeight="false" outlineLevel="0" collapsed="false">
      <c r="A131" s="1" t="s">
        <v>92</v>
      </c>
      <c r="B131" s="1" t="s">
        <v>20</v>
      </c>
      <c r="C131" s="1" t="s">
        <v>21</v>
      </c>
      <c r="D131" s="1" t="s">
        <v>93</v>
      </c>
      <c r="E131" s="1" t="s">
        <v>271</v>
      </c>
      <c r="F131" s="1" t="s">
        <v>272</v>
      </c>
      <c r="G131" s="1" t="s">
        <v>24</v>
      </c>
      <c r="H131" s="1" t="n">
        <v>1.76</v>
      </c>
      <c r="I131" s="1" t="s">
        <v>273</v>
      </c>
      <c r="J131" s="1" t="s">
        <v>26</v>
      </c>
      <c r="K131" s="1" t="s">
        <v>58</v>
      </c>
      <c r="L131" s="1" t="s">
        <v>59</v>
      </c>
      <c r="M131" s="1" t="s">
        <v>220</v>
      </c>
      <c r="N131" s="1" t="s">
        <v>99</v>
      </c>
      <c r="O131" s="2" t="n">
        <v>599</v>
      </c>
      <c r="P131" s="2" t="n">
        <f aca="false">O131/H131</f>
        <v>340.340909090909</v>
      </c>
      <c r="Q131" s="3" t="n">
        <f aca="false">(R131/P131-1)*-1</f>
        <v>0.209616026711185</v>
      </c>
      <c r="R131" s="2" t="n">
        <v>269</v>
      </c>
      <c r="S131" s="2" t="n">
        <v>249</v>
      </c>
    </row>
    <row r="132" customFormat="false" ht="14" hidden="false" customHeight="false" outlineLevel="0" collapsed="false">
      <c r="A132" s="1" t="s">
        <v>92</v>
      </c>
      <c r="B132" s="1" t="s">
        <v>20</v>
      </c>
      <c r="C132" s="1" t="s">
        <v>21</v>
      </c>
      <c r="D132" s="1" t="s">
        <v>93</v>
      </c>
      <c r="E132" s="1" t="s">
        <v>274</v>
      </c>
      <c r="F132" s="1" t="s">
        <v>275</v>
      </c>
      <c r="G132" s="1" t="s">
        <v>24</v>
      </c>
      <c r="H132" s="1" t="n">
        <v>1.76</v>
      </c>
      <c r="I132" s="1" t="s">
        <v>273</v>
      </c>
      <c r="J132" s="1" t="s">
        <v>26</v>
      </c>
      <c r="K132" s="1" t="s">
        <v>58</v>
      </c>
      <c r="L132" s="1" t="s">
        <v>28</v>
      </c>
      <c r="M132" s="1" t="s">
        <v>220</v>
      </c>
      <c r="N132" s="1" t="s">
        <v>99</v>
      </c>
      <c r="O132" s="2" t="n">
        <v>599</v>
      </c>
      <c r="P132" s="2" t="n">
        <f aca="false">O132/H132</f>
        <v>340.340909090909</v>
      </c>
      <c r="Q132" s="3" t="n">
        <f aca="false">(R132/P132-1)*-1</f>
        <v>0.209616026711185</v>
      </c>
      <c r="R132" s="2" t="n">
        <v>269</v>
      </c>
      <c r="S132" s="2" t="n">
        <v>249</v>
      </c>
    </row>
    <row r="133" customFormat="false" ht="14" hidden="false" customHeight="false" outlineLevel="0" collapsed="false">
      <c r="A133" s="1" t="s">
        <v>92</v>
      </c>
      <c r="B133" s="1" t="s">
        <v>20</v>
      </c>
      <c r="C133" s="1" t="s">
        <v>21</v>
      </c>
      <c r="D133" s="1" t="s">
        <v>93</v>
      </c>
      <c r="E133" s="1" t="s">
        <v>276</v>
      </c>
      <c r="F133" s="1" t="s">
        <v>277</v>
      </c>
      <c r="G133" s="1" t="s">
        <v>24</v>
      </c>
      <c r="H133" s="1" t="n">
        <v>1.42</v>
      </c>
      <c r="I133" s="1" t="s">
        <v>278</v>
      </c>
      <c r="J133" s="1" t="s">
        <v>26</v>
      </c>
      <c r="K133" s="1" t="s">
        <v>58</v>
      </c>
      <c r="L133" s="1" t="s">
        <v>59</v>
      </c>
      <c r="M133" s="1" t="s">
        <v>29</v>
      </c>
      <c r="N133" s="1" t="s">
        <v>99</v>
      </c>
      <c r="O133" s="2" t="n">
        <v>529</v>
      </c>
      <c r="P133" s="2" t="n">
        <f aca="false">O133/H133</f>
        <v>372.535211267606</v>
      </c>
      <c r="Q133" s="3" t="n">
        <f aca="false">(R133/P133-1)*-1</f>
        <v>0.30476370510397</v>
      </c>
      <c r="R133" s="2" t="n">
        <v>259</v>
      </c>
      <c r="S133" s="2" t="n">
        <v>249</v>
      </c>
    </row>
    <row r="134" customFormat="false" ht="14" hidden="false" customHeight="false" outlineLevel="0" collapsed="false">
      <c r="A134" s="1" t="s">
        <v>92</v>
      </c>
      <c r="B134" s="1" t="s">
        <v>20</v>
      </c>
      <c r="C134" s="1" t="s">
        <v>21</v>
      </c>
      <c r="D134" s="1" t="s">
        <v>93</v>
      </c>
      <c r="E134" s="1" t="s">
        <v>279</v>
      </c>
      <c r="F134" s="1" t="s">
        <v>280</v>
      </c>
      <c r="G134" s="1" t="s">
        <v>24</v>
      </c>
      <c r="H134" s="1" t="n">
        <v>1.42</v>
      </c>
      <c r="I134" s="1" t="s">
        <v>278</v>
      </c>
      <c r="J134" s="1" t="s">
        <v>26</v>
      </c>
      <c r="K134" s="1" t="s">
        <v>42</v>
      </c>
      <c r="L134" s="1" t="s">
        <v>131</v>
      </c>
      <c r="M134" s="1" t="s">
        <v>29</v>
      </c>
      <c r="N134" s="1" t="s">
        <v>99</v>
      </c>
      <c r="O134" s="2" t="n">
        <v>559</v>
      </c>
      <c r="P134" s="2" t="n">
        <f aca="false">O134/H134</f>
        <v>393.661971830986</v>
      </c>
      <c r="Q134" s="3" t="n">
        <f aca="false">(R134/P134-1)*-1</f>
        <v>0.342075134168157</v>
      </c>
      <c r="R134" s="2" t="n">
        <v>259</v>
      </c>
      <c r="S134" s="2" t="n">
        <v>259</v>
      </c>
    </row>
    <row r="135" customFormat="false" ht="14" hidden="false" customHeight="false" outlineLevel="0" collapsed="false">
      <c r="A135" s="1" t="s">
        <v>19</v>
      </c>
      <c r="B135" s="1" t="s">
        <v>20</v>
      </c>
      <c r="C135" s="1" t="s">
        <v>21</v>
      </c>
      <c r="D135" s="1" t="s">
        <v>22</v>
      </c>
      <c r="E135" s="10" t="n">
        <v>522065143011011</v>
      </c>
      <c r="F135" s="1" t="s">
        <v>281</v>
      </c>
      <c r="G135" s="1" t="s">
        <v>24</v>
      </c>
      <c r="H135" s="1" t="n">
        <v>1.83</v>
      </c>
      <c r="I135" s="1" t="s">
        <v>83</v>
      </c>
      <c r="J135" s="1" t="s">
        <v>26</v>
      </c>
      <c r="K135" s="1" t="s">
        <v>282</v>
      </c>
      <c r="L135" s="1" t="s">
        <v>32</v>
      </c>
      <c r="M135" s="1" t="s">
        <v>29</v>
      </c>
      <c r="N135" s="1" t="s">
        <v>30</v>
      </c>
      <c r="O135" s="2" t="n">
        <v>589</v>
      </c>
      <c r="P135" s="2" t="n">
        <f aca="false">O135/H135</f>
        <v>321.857923497268</v>
      </c>
      <c r="Q135" s="3" t="n">
        <f aca="false">(R135/P135-1)*-1</f>
        <v>0.164227504244482</v>
      </c>
      <c r="R135" s="2" t="n">
        <v>269</v>
      </c>
      <c r="S135" s="2" t="n">
        <v>0</v>
      </c>
    </row>
    <row r="136" customFormat="false" ht="14" hidden="false" customHeight="false" outlineLevel="0" collapsed="false">
      <c r="A136" s="1" t="s">
        <v>19</v>
      </c>
      <c r="B136" s="1" t="s">
        <v>20</v>
      </c>
      <c r="C136" s="1" t="s">
        <v>21</v>
      </c>
      <c r="D136" s="1" t="s">
        <v>22</v>
      </c>
      <c r="E136" s="10" t="n">
        <v>522065143567011</v>
      </c>
      <c r="F136" s="1" t="s">
        <v>283</v>
      </c>
      <c r="G136" s="1" t="s">
        <v>24</v>
      </c>
      <c r="H136" s="1" t="n">
        <v>1.83</v>
      </c>
      <c r="I136" s="1" t="s">
        <v>83</v>
      </c>
      <c r="J136" s="1" t="s">
        <v>26</v>
      </c>
      <c r="K136" s="1" t="s">
        <v>282</v>
      </c>
      <c r="L136" s="1" t="s">
        <v>32</v>
      </c>
      <c r="M136" s="1" t="s">
        <v>29</v>
      </c>
      <c r="N136" s="1" t="s">
        <v>30</v>
      </c>
      <c r="O136" s="2" t="n">
        <v>589</v>
      </c>
      <c r="P136" s="2" t="n">
        <f aca="false">O136/H136</f>
        <v>321.857923497268</v>
      </c>
      <c r="Q136" s="3" t="n">
        <f aca="false">(R136/P136-1)*-1</f>
        <v>0.164227504244482</v>
      </c>
      <c r="R136" s="2" t="n">
        <v>269</v>
      </c>
      <c r="S136" s="2" t="n">
        <v>0</v>
      </c>
    </row>
    <row r="137" customFormat="false" ht="14" hidden="false" customHeight="false" outlineLevel="0" collapsed="false">
      <c r="A137" s="1" t="s">
        <v>92</v>
      </c>
      <c r="B137" s="1" t="s">
        <v>20</v>
      </c>
      <c r="C137" s="1" t="s">
        <v>21</v>
      </c>
      <c r="D137" s="1" t="s">
        <v>93</v>
      </c>
      <c r="E137" s="1" t="s">
        <v>284</v>
      </c>
      <c r="F137" s="1" t="s">
        <v>285</v>
      </c>
      <c r="G137" s="1" t="s">
        <v>24</v>
      </c>
      <c r="H137" s="1" t="n">
        <v>1.76</v>
      </c>
      <c r="I137" s="1" t="s">
        <v>273</v>
      </c>
      <c r="J137" s="1" t="s">
        <v>26</v>
      </c>
      <c r="K137" s="1" t="s">
        <v>58</v>
      </c>
      <c r="L137" s="1" t="s">
        <v>32</v>
      </c>
      <c r="M137" s="1" t="s">
        <v>220</v>
      </c>
      <c r="N137" s="1" t="s">
        <v>99</v>
      </c>
      <c r="O137" s="2" t="n">
        <v>599</v>
      </c>
      <c r="P137" s="2" t="n">
        <f aca="false">O137/H137</f>
        <v>340.340909090909</v>
      </c>
      <c r="Q137" s="3" t="n">
        <f aca="false">(R137/P137-1)*-1</f>
        <v>0.209616026711185</v>
      </c>
      <c r="R137" s="2" t="n">
        <v>269</v>
      </c>
      <c r="S137" s="2" t="n">
        <v>249</v>
      </c>
    </row>
    <row r="138" customFormat="false" ht="14" hidden="false" customHeight="false" outlineLevel="0" collapsed="false">
      <c r="A138" s="1" t="s">
        <v>92</v>
      </c>
      <c r="B138" s="1" t="s">
        <v>20</v>
      </c>
      <c r="C138" s="1" t="s">
        <v>21</v>
      </c>
      <c r="D138" s="1" t="s">
        <v>93</v>
      </c>
      <c r="E138" s="1" t="s">
        <v>286</v>
      </c>
      <c r="F138" s="1" t="s">
        <v>287</v>
      </c>
      <c r="G138" s="1" t="s">
        <v>24</v>
      </c>
      <c r="H138" s="1" t="n">
        <v>1.83</v>
      </c>
      <c r="I138" s="1" t="s">
        <v>288</v>
      </c>
      <c r="J138" s="1" t="s">
        <v>26</v>
      </c>
      <c r="K138" s="1" t="s">
        <v>58</v>
      </c>
      <c r="L138" s="1" t="s">
        <v>32</v>
      </c>
      <c r="M138" s="1" t="s">
        <v>29</v>
      </c>
      <c r="N138" s="1" t="s">
        <v>99</v>
      </c>
      <c r="O138" s="2" t="n">
        <v>629</v>
      </c>
      <c r="P138" s="2" t="n">
        <f aca="false">O138/H138</f>
        <v>343.715846994536</v>
      </c>
      <c r="Q138" s="3" t="n">
        <f aca="false">(R138/P138-1)*-1</f>
        <v>0.246470588235294</v>
      </c>
      <c r="R138" s="2" t="n">
        <v>259</v>
      </c>
      <c r="S138" s="2" t="n">
        <v>249</v>
      </c>
    </row>
    <row r="139" customFormat="false" ht="14" hidden="false" customHeight="false" outlineLevel="0" collapsed="false">
      <c r="A139" s="1" t="s">
        <v>92</v>
      </c>
      <c r="B139" s="1" t="s">
        <v>20</v>
      </c>
      <c r="C139" s="1" t="s">
        <v>21</v>
      </c>
      <c r="D139" s="1" t="s">
        <v>93</v>
      </c>
      <c r="E139" s="1" t="s">
        <v>289</v>
      </c>
      <c r="F139" s="1" t="s">
        <v>290</v>
      </c>
      <c r="G139" s="1" t="s">
        <v>24</v>
      </c>
      <c r="H139" s="1" t="n">
        <v>1.42</v>
      </c>
      <c r="I139" s="1" t="s">
        <v>278</v>
      </c>
      <c r="J139" s="1" t="s">
        <v>26</v>
      </c>
      <c r="K139" s="1" t="s">
        <v>42</v>
      </c>
      <c r="L139" s="1" t="s">
        <v>32</v>
      </c>
      <c r="M139" s="1" t="s">
        <v>29</v>
      </c>
      <c r="N139" s="1" t="s">
        <v>99</v>
      </c>
      <c r="O139" s="2" t="n">
        <v>559</v>
      </c>
      <c r="P139" s="2" t="n">
        <f aca="false">O139/H139</f>
        <v>393.661971830986</v>
      </c>
      <c r="Q139" s="3" t="n">
        <f aca="false">(R139/P139-1)*-1</f>
        <v>0.342075134168157</v>
      </c>
      <c r="R139" s="2" t="n">
        <v>259</v>
      </c>
      <c r="S139" s="2" t="n">
        <v>229</v>
      </c>
    </row>
    <row r="140" customFormat="false" ht="14" hidden="false" customHeight="false" outlineLevel="0" collapsed="false">
      <c r="A140" s="1" t="s">
        <v>92</v>
      </c>
      <c r="B140" s="1" t="s">
        <v>20</v>
      </c>
      <c r="C140" s="1" t="s">
        <v>21</v>
      </c>
      <c r="D140" s="1" t="s">
        <v>93</v>
      </c>
      <c r="E140" s="1" t="s">
        <v>291</v>
      </c>
      <c r="F140" s="1" t="s">
        <v>292</v>
      </c>
      <c r="G140" s="1" t="s">
        <v>24</v>
      </c>
      <c r="H140" s="1" t="n">
        <v>1.42</v>
      </c>
      <c r="I140" s="1" t="s">
        <v>278</v>
      </c>
      <c r="J140" s="1" t="s">
        <v>26</v>
      </c>
      <c r="K140" s="1" t="s">
        <v>42</v>
      </c>
      <c r="L140" s="1" t="s">
        <v>32</v>
      </c>
      <c r="M140" s="1" t="s">
        <v>29</v>
      </c>
      <c r="N140" s="1" t="s">
        <v>99</v>
      </c>
      <c r="O140" s="2" t="n">
        <v>559</v>
      </c>
      <c r="P140" s="2" t="n">
        <f aca="false">O140/H140</f>
        <v>393.661971830986</v>
      </c>
      <c r="Q140" s="3" t="n">
        <f aca="false">(R140/P140-1)*-1</f>
        <v>0.316672629695886</v>
      </c>
      <c r="R140" s="2" t="n">
        <v>269</v>
      </c>
      <c r="S140" s="2" t="n">
        <v>259</v>
      </c>
    </row>
    <row r="141" customFormat="false" ht="14" hidden="false" customHeight="false" outlineLevel="0" collapsed="false">
      <c r="A141" s="1" t="s">
        <v>19</v>
      </c>
      <c r="B141" s="1" t="s">
        <v>20</v>
      </c>
      <c r="C141" s="1" t="s">
        <v>21</v>
      </c>
      <c r="D141" s="1" t="s">
        <v>22</v>
      </c>
      <c r="E141" s="10" t="n">
        <v>522065441011481</v>
      </c>
      <c r="F141" s="1" t="s">
        <v>293</v>
      </c>
      <c r="G141" s="1" t="s">
        <v>24</v>
      </c>
      <c r="H141" s="1" t="n">
        <v>1.57</v>
      </c>
      <c r="I141" s="1" t="s">
        <v>294</v>
      </c>
      <c r="J141" s="1" t="s">
        <v>26</v>
      </c>
      <c r="K141" s="1" t="s">
        <v>282</v>
      </c>
      <c r="L141" s="1" t="s">
        <v>32</v>
      </c>
      <c r="M141" s="1" t="s">
        <v>29</v>
      </c>
      <c r="N141" s="1" t="s">
        <v>30</v>
      </c>
      <c r="O141" s="2" t="n">
        <v>529</v>
      </c>
      <c r="P141" s="2" t="n">
        <f aca="false">O141/H141</f>
        <v>336.942675159236</v>
      </c>
      <c r="Q141" s="3" t="n">
        <f aca="false">(R141/P141-1)*-1</f>
        <v>0.171965973534972</v>
      </c>
      <c r="R141" s="2" t="n">
        <v>279</v>
      </c>
      <c r="S141" s="2" t="n">
        <v>0</v>
      </c>
    </row>
    <row r="142" customFormat="false" ht="14" hidden="false" customHeight="false" outlineLevel="0" collapsed="false">
      <c r="A142" s="1" t="s">
        <v>19</v>
      </c>
      <c r="B142" s="1" t="s">
        <v>20</v>
      </c>
      <c r="C142" s="1" t="s">
        <v>21</v>
      </c>
      <c r="D142" s="1" t="s">
        <v>22</v>
      </c>
      <c r="E142" s="10" t="n">
        <v>522065441567481</v>
      </c>
      <c r="F142" s="1" t="s">
        <v>295</v>
      </c>
      <c r="G142" s="1" t="s">
        <v>24</v>
      </c>
      <c r="H142" s="1" t="n">
        <v>1.57</v>
      </c>
      <c r="I142" s="1" t="s">
        <v>294</v>
      </c>
      <c r="J142" s="1" t="s">
        <v>26</v>
      </c>
      <c r="K142" s="1" t="s">
        <v>282</v>
      </c>
      <c r="L142" s="1" t="s">
        <v>32</v>
      </c>
      <c r="M142" s="1" t="s">
        <v>29</v>
      </c>
      <c r="N142" s="1" t="s">
        <v>30</v>
      </c>
      <c r="O142" s="2" t="n">
        <v>529</v>
      </c>
      <c r="P142" s="2" t="n">
        <f aca="false">O142/H142</f>
        <v>336.942675159236</v>
      </c>
      <c r="Q142" s="3" t="n">
        <f aca="false">(R142/P142-1)*-1</f>
        <v>0.171965973534972</v>
      </c>
      <c r="R142" s="2" t="n">
        <v>279</v>
      </c>
      <c r="S142" s="2" t="n">
        <v>0</v>
      </c>
    </row>
    <row r="143" customFormat="false" ht="14" hidden="false" customHeight="false" outlineLevel="0" collapsed="false">
      <c r="A143" s="1" t="s">
        <v>19</v>
      </c>
      <c r="B143" s="1" t="s">
        <v>20</v>
      </c>
      <c r="C143" s="1" t="s">
        <v>21</v>
      </c>
      <c r="D143" s="1" t="s">
        <v>22</v>
      </c>
      <c r="E143" s="10" t="n">
        <v>522837438016271</v>
      </c>
      <c r="F143" s="1" t="s">
        <v>296</v>
      </c>
      <c r="G143" s="1" t="s">
        <v>24</v>
      </c>
      <c r="H143" s="1" t="n">
        <v>2.56</v>
      </c>
      <c r="I143" s="1" t="s">
        <v>297</v>
      </c>
      <c r="J143" s="1" t="s">
        <v>208</v>
      </c>
      <c r="K143" s="1" t="s">
        <v>27</v>
      </c>
      <c r="L143" s="1" t="s">
        <v>63</v>
      </c>
      <c r="M143" s="1" t="s">
        <v>209</v>
      </c>
      <c r="N143" s="1" t="s">
        <v>99</v>
      </c>
      <c r="O143" s="2" t="n">
        <v>1899</v>
      </c>
      <c r="P143" s="2" t="n">
        <f aca="false">O143/H143</f>
        <v>741.796875</v>
      </c>
      <c r="Q143" s="3" t="n">
        <f aca="false">(R143/P143-1)*-1</f>
        <v>0.205982095839916</v>
      </c>
      <c r="R143" s="2" t="n">
        <v>589</v>
      </c>
      <c r="S143" s="2" t="n">
        <v>0</v>
      </c>
    </row>
    <row r="144" customFormat="false" ht="14" hidden="false" customHeight="false" outlineLevel="0" collapsed="false">
      <c r="A144" s="1" t="s">
        <v>19</v>
      </c>
      <c r="B144" s="1" t="s">
        <v>20</v>
      </c>
      <c r="C144" s="1" t="s">
        <v>21</v>
      </c>
      <c r="D144" s="1" t="s">
        <v>22</v>
      </c>
      <c r="E144" s="10" t="n">
        <v>520012403294211</v>
      </c>
      <c r="F144" s="1" t="s">
        <v>298</v>
      </c>
      <c r="G144" s="1" t="s">
        <v>24</v>
      </c>
      <c r="H144" s="1" t="n">
        <v>0.99</v>
      </c>
      <c r="I144" s="1" t="s">
        <v>299</v>
      </c>
      <c r="J144" s="1" t="s">
        <v>26</v>
      </c>
      <c r="K144" s="1" t="s">
        <v>58</v>
      </c>
      <c r="L144" s="1" t="s">
        <v>59</v>
      </c>
      <c r="M144" s="1" t="s">
        <v>29</v>
      </c>
      <c r="N144" s="1" t="s">
        <v>99</v>
      </c>
      <c r="O144" s="2" t="n">
        <v>359</v>
      </c>
      <c r="P144" s="2" t="n">
        <f aca="false">O144/H144</f>
        <v>362.626262626263</v>
      </c>
      <c r="Q144" s="3" t="n">
        <f aca="false">(R144/P144-1)*-1</f>
        <v>0.203036211699164</v>
      </c>
      <c r="R144" s="2" t="n">
        <v>289</v>
      </c>
      <c r="S144" s="2" t="n">
        <v>0</v>
      </c>
    </row>
    <row r="145" customFormat="false" ht="14" hidden="false" customHeight="false" outlineLevel="0" collapsed="false">
      <c r="A145" s="1" t="s">
        <v>19</v>
      </c>
      <c r="B145" s="1" t="s">
        <v>20</v>
      </c>
      <c r="C145" s="1" t="s">
        <v>21</v>
      </c>
      <c r="D145" s="1" t="s">
        <v>22</v>
      </c>
      <c r="E145" s="10" t="n">
        <v>520012403284931</v>
      </c>
      <c r="F145" s="1" t="s">
        <v>300</v>
      </c>
      <c r="G145" s="1" t="s">
        <v>24</v>
      </c>
      <c r="H145" s="1" t="n">
        <v>1.49</v>
      </c>
      <c r="I145" s="1" t="s">
        <v>299</v>
      </c>
      <c r="J145" s="1" t="s">
        <v>26</v>
      </c>
      <c r="K145" s="1" t="s">
        <v>58</v>
      </c>
      <c r="L145" s="1" t="s">
        <v>28</v>
      </c>
      <c r="M145" s="1" t="s">
        <v>29</v>
      </c>
      <c r="N145" s="1" t="s">
        <v>99</v>
      </c>
      <c r="O145" s="2" t="n">
        <v>539</v>
      </c>
      <c r="P145" s="2" t="n">
        <f aca="false">O145/H145</f>
        <v>361.744966442953</v>
      </c>
      <c r="Q145" s="3" t="n">
        <f aca="false">(R145/P145-1)*-1</f>
        <v>0.201094619666048</v>
      </c>
      <c r="R145" s="2" t="n">
        <v>289</v>
      </c>
      <c r="S145" s="2" t="n">
        <v>0</v>
      </c>
    </row>
    <row r="146" customFormat="false" ht="14" hidden="false" customHeight="false" outlineLevel="0" collapsed="false">
      <c r="A146" s="1" t="s">
        <v>19</v>
      </c>
      <c r="B146" s="1" t="s">
        <v>20</v>
      </c>
      <c r="C146" s="1" t="s">
        <v>21</v>
      </c>
      <c r="D146" s="1" t="s">
        <v>22</v>
      </c>
      <c r="E146" s="10" t="n">
        <v>520012403027931</v>
      </c>
      <c r="F146" s="1" t="s">
        <v>301</v>
      </c>
      <c r="G146" s="1" t="s">
        <v>24</v>
      </c>
      <c r="H146" s="1" t="n">
        <v>1.49</v>
      </c>
      <c r="I146" s="1" t="s">
        <v>299</v>
      </c>
      <c r="J146" s="1" t="s">
        <v>26</v>
      </c>
      <c r="K146" s="1" t="s">
        <v>58</v>
      </c>
      <c r="L146" s="1" t="s">
        <v>28</v>
      </c>
      <c r="M146" s="1" t="s">
        <v>29</v>
      </c>
      <c r="N146" s="1" t="s">
        <v>99</v>
      </c>
      <c r="O146" s="2" t="n">
        <v>539</v>
      </c>
      <c r="P146" s="2" t="n">
        <f aca="false">O146/H146</f>
        <v>361.744966442953</v>
      </c>
      <c r="Q146" s="3" t="n">
        <f aca="false">(R146/P146-1)*-1</f>
        <v>0.201094619666048</v>
      </c>
      <c r="R146" s="2" t="n">
        <v>289</v>
      </c>
      <c r="S146" s="2" t="n">
        <v>0</v>
      </c>
    </row>
    <row r="147" customFormat="false" ht="14" hidden="false" customHeight="false" outlineLevel="0" collapsed="false">
      <c r="A147" s="1" t="s">
        <v>19</v>
      </c>
      <c r="B147" s="1" t="s">
        <v>20</v>
      </c>
      <c r="C147" s="1" t="s">
        <v>21</v>
      </c>
      <c r="D147" s="1" t="s">
        <v>22</v>
      </c>
      <c r="E147" s="10" t="n">
        <v>520012403810931</v>
      </c>
      <c r="F147" s="1" t="s">
        <v>302</v>
      </c>
      <c r="G147" s="1" t="s">
        <v>24</v>
      </c>
      <c r="H147" s="1" t="n">
        <v>1.49</v>
      </c>
      <c r="I147" s="1" t="s">
        <v>299</v>
      </c>
      <c r="J147" s="1" t="s">
        <v>26</v>
      </c>
      <c r="K147" s="1" t="s">
        <v>58</v>
      </c>
      <c r="L147" s="1" t="s">
        <v>32</v>
      </c>
      <c r="M147" s="1" t="s">
        <v>29</v>
      </c>
      <c r="N147" s="1" t="s">
        <v>99</v>
      </c>
      <c r="O147" s="2" t="n">
        <v>539</v>
      </c>
      <c r="P147" s="2" t="n">
        <f aca="false">O147/H147</f>
        <v>361.744966442953</v>
      </c>
      <c r="Q147" s="3" t="n">
        <f aca="false">(R147/P147-1)*-1</f>
        <v>0.201094619666048</v>
      </c>
      <c r="R147" s="2" t="n">
        <v>289</v>
      </c>
      <c r="S147" s="2" t="n">
        <v>0</v>
      </c>
    </row>
    <row r="148" customFormat="false" ht="14" hidden="false" customHeight="false" outlineLevel="0" collapsed="false">
      <c r="A148" s="1" t="s">
        <v>19</v>
      </c>
      <c r="B148" s="1" t="s">
        <v>20</v>
      </c>
      <c r="C148" s="1" t="s">
        <v>21</v>
      </c>
      <c r="D148" s="1" t="s">
        <v>22</v>
      </c>
      <c r="E148" s="10" t="n">
        <v>520012402294921</v>
      </c>
      <c r="F148" s="1" t="s">
        <v>303</v>
      </c>
      <c r="G148" s="1" t="s">
        <v>24</v>
      </c>
      <c r="H148" s="1" t="n">
        <v>2.25</v>
      </c>
      <c r="I148" s="1" t="s">
        <v>304</v>
      </c>
      <c r="J148" s="1" t="s">
        <v>26</v>
      </c>
      <c r="K148" s="1" t="s">
        <v>58</v>
      </c>
      <c r="L148" s="1" t="s">
        <v>59</v>
      </c>
      <c r="M148" s="1" t="s">
        <v>29</v>
      </c>
      <c r="N148" s="1" t="s">
        <v>99</v>
      </c>
      <c r="O148" s="2" t="n">
        <v>809</v>
      </c>
      <c r="P148" s="2" t="n">
        <f aca="false">O148/H148</f>
        <v>359.555555555556</v>
      </c>
      <c r="Q148" s="3" t="n">
        <f aca="false">(R148/P148-1)*-1</f>
        <v>0.196229913473424</v>
      </c>
      <c r="R148" s="2" t="n">
        <v>289</v>
      </c>
      <c r="S148" s="2" t="n">
        <v>0</v>
      </c>
    </row>
    <row r="149" customFormat="false" ht="14" hidden="false" customHeight="false" outlineLevel="0" collapsed="false">
      <c r="A149" s="1" t="s">
        <v>19</v>
      </c>
      <c r="B149" s="1" t="s">
        <v>20</v>
      </c>
      <c r="C149" s="1" t="s">
        <v>21</v>
      </c>
      <c r="D149" s="1" t="s">
        <v>22</v>
      </c>
      <c r="E149" s="10" t="n">
        <v>520012402027921</v>
      </c>
      <c r="F149" s="1" t="s">
        <v>305</v>
      </c>
      <c r="G149" s="1" t="s">
        <v>24</v>
      </c>
      <c r="H149" s="1" t="n">
        <v>2.25</v>
      </c>
      <c r="I149" s="1" t="s">
        <v>304</v>
      </c>
      <c r="J149" s="1" t="s">
        <v>26</v>
      </c>
      <c r="K149" s="1" t="s">
        <v>58</v>
      </c>
      <c r="L149" s="1" t="s">
        <v>28</v>
      </c>
      <c r="M149" s="1" t="s">
        <v>29</v>
      </c>
      <c r="N149" s="1" t="s">
        <v>99</v>
      </c>
      <c r="O149" s="2" t="n">
        <v>809</v>
      </c>
      <c r="P149" s="2" t="n">
        <f aca="false">O149/H149</f>
        <v>359.555555555556</v>
      </c>
      <c r="Q149" s="3" t="n">
        <f aca="false">(R149/P149-1)*-1</f>
        <v>0.196229913473424</v>
      </c>
      <c r="R149" s="2" t="n">
        <v>289</v>
      </c>
      <c r="S149" s="2" t="n">
        <v>0</v>
      </c>
    </row>
    <row r="150" customFormat="false" ht="14" hidden="false" customHeight="false" outlineLevel="0" collapsed="false">
      <c r="A150" s="1" t="s">
        <v>19</v>
      </c>
      <c r="B150" s="1" t="s">
        <v>20</v>
      </c>
      <c r="C150" s="1" t="s">
        <v>21</v>
      </c>
      <c r="D150" s="1" t="s">
        <v>22</v>
      </c>
      <c r="E150" s="10" t="n">
        <v>520012402810921</v>
      </c>
      <c r="F150" s="1" t="s">
        <v>306</v>
      </c>
      <c r="G150" s="1" t="s">
        <v>24</v>
      </c>
      <c r="H150" s="1" t="n">
        <v>2.25</v>
      </c>
      <c r="I150" s="1" t="s">
        <v>304</v>
      </c>
      <c r="J150" s="1" t="s">
        <v>26</v>
      </c>
      <c r="K150" s="1" t="s">
        <v>58</v>
      </c>
      <c r="L150" s="1" t="s">
        <v>32</v>
      </c>
      <c r="M150" s="1" t="s">
        <v>29</v>
      </c>
      <c r="N150" s="1" t="s">
        <v>99</v>
      </c>
      <c r="O150" s="2" t="n">
        <v>809</v>
      </c>
      <c r="P150" s="2" t="n">
        <f aca="false">O150/H150</f>
        <v>359.555555555556</v>
      </c>
      <c r="Q150" s="3" t="n">
        <f aca="false">(R150/P150-1)*-1</f>
        <v>0.196229913473424</v>
      </c>
      <c r="R150" s="2" t="n">
        <v>289</v>
      </c>
      <c r="S150" s="2" t="n">
        <v>0</v>
      </c>
    </row>
    <row r="151" customFormat="false" ht="14" hidden="false" customHeight="false" outlineLevel="0" collapsed="false">
      <c r="A151" s="1" t="s">
        <v>19</v>
      </c>
      <c r="B151" s="1" t="s">
        <v>20</v>
      </c>
      <c r="C151" s="1" t="s">
        <v>21</v>
      </c>
      <c r="D151" s="1" t="s">
        <v>22</v>
      </c>
      <c r="E151" s="10" t="n">
        <v>520012402284921</v>
      </c>
      <c r="F151" s="1" t="s">
        <v>307</v>
      </c>
      <c r="G151" s="1" t="s">
        <v>24</v>
      </c>
      <c r="H151" s="1" t="n">
        <v>2.25</v>
      </c>
      <c r="I151" s="1" t="s">
        <v>304</v>
      </c>
      <c r="J151" s="1" t="s">
        <v>26</v>
      </c>
      <c r="K151" s="1" t="s">
        <v>58</v>
      </c>
      <c r="L151" s="1" t="s">
        <v>28</v>
      </c>
      <c r="M151" s="1" t="s">
        <v>29</v>
      </c>
      <c r="N151" s="1" t="s">
        <v>99</v>
      </c>
      <c r="O151" s="2" t="n">
        <v>809</v>
      </c>
      <c r="P151" s="2" t="n">
        <f aca="false">O151/H151</f>
        <v>359.555555555556</v>
      </c>
      <c r="Q151" s="3" t="n">
        <f aca="false">(R151/P151-1)*-1</f>
        <v>0.196229913473424</v>
      </c>
      <c r="R151" s="2" t="n">
        <v>289</v>
      </c>
      <c r="S151" s="2" t="n">
        <v>0</v>
      </c>
    </row>
    <row r="152" customFormat="false" ht="14" hidden="false" customHeight="false" outlineLevel="0" collapsed="false">
      <c r="A152" s="1" t="s">
        <v>19</v>
      </c>
      <c r="B152" s="1" t="s">
        <v>20</v>
      </c>
      <c r="C152" s="1" t="s">
        <v>21</v>
      </c>
      <c r="D152" s="1" t="s">
        <v>22</v>
      </c>
      <c r="E152" s="10" t="n">
        <v>522514254282681</v>
      </c>
      <c r="F152" s="1" t="s">
        <v>308</v>
      </c>
      <c r="G152" s="1" t="s">
        <v>24</v>
      </c>
      <c r="H152" s="1" t="n">
        <v>1.5</v>
      </c>
      <c r="I152" s="1" t="s">
        <v>309</v>
      </c>
      <c r="J152" s="1" t="s">
        <v>26</v>
      </c>
      <c r="K152" s="1" t="s">
        <v>27</v>
      </c>
      <c r="L152" s="1" t="s">
        <v>32</v>
      </c>
      <c r="M152" s="1" t="s">
        <v>29</v>
      </c>
      <c r="N152" s="1" t="s">
        <v>99</v>
      </c>
      <c r="O152" s="2" t="n">
        <v>539</v>
      </c>
      <c r="P152" s="2" t="n">
        <f aca="false">O152/H152</f>
        <v>359.333333333333</v>
      </c>
      <c r="Q152" s="3" t="n">
        <f aca="false">(R152/P152-1)*-1</f>
        <v>0.195732838589981</v>
      </c>
      <c r="R152" s="2" t="n">
        <v>289</v>
      </c>
      <c r="S152" s="2" t="n">
        <v>0</v>
      </c>
    </row>
    <row r="153" customFormat="false" ht="14" hidden="false" customHeight="false" outlineLevel="0" collapsed="false">
      <c r="A153" s="1" t="s">
        <v>19</v>
      </c>
      <c r="B153" s="1" t="s">
        <v>20</v>
      </c>
      <c r="C153" s="1" t="s">
        <v>21</v>
      </c>
      <c r="D153" s="1" t="s">
        <v>22</v>
      </c>
      <c r="E153" s="10" t="n">
        <v>522370254011481</v>
      </c>
      <c r="F153" s="1" t="s">
        <v>310</v>
      </c>
      <c r="G153" s="1" t="s">
        <v>24</v>
      </c>
      <c r="H153" s="1" t="n">
        <v>1.5</v>
      </c>
      <c r="I153" s="1" t="s">
        <v>309</v>
      </c>
      <c r="J153" s="1" t="s">
        <v>26</v>
      </c>
      <c r="K153" s="1" t="s">
        <v>27</v>
      </c>
      <c r="L153" s="1" t="s">
        <v>32</v>
      </c>
      <c r="M153" s="1" t="s">
        <v>29</v>
      </c>
      <c r="N153" s="1" t="s">
        <v>99</v>
      </c>
      <c r="O153" s="2" t="n">
        <v>539</v>
      </c>
      <c r="P153" s="2" t="n">
        <f aca="false">O153/H153</f>
        <v>359.333333333333</v>
      </c>
      <c r="Q153" s="3" t="n">
        <f aca="false">(R153/P153-1)*-1</f>
        <v>0.195732838589981</v>
      </c>
      <c r="R153" s="2" t="n">
        <v>289</v>
      </c>
      <c r="S153" s="2" t="n">
        <v>0</v>
      </c>
    </row>
    <row r="154" customFormat="false" ht="14" hidden="false" customHeight="false" outlineLevel="0" collapsed="false">
      <c r="A154" s="1" t="s">
        <v>19</v>
      </c>
      <c r="B154" s="1" t="s">
        <v>20</v>
      </c>
      <c r="C154" s="1" t="s">
        <v>21</v>
      </c>
      <c r="D154" s="1" t="s">
        <v>22</v>
      </c>
      <c r="E154" s="10" t="n">
        <v>522370254264481</v>
      </c>
      <c r="F154" s="1" t="s">
        <v>311</v>
      </c>
      <c r="G154" s="1" t="s">
        <v>24</v>
      </c>
      <c r="H154" s="1" t="n">
        <v>1.5</v>
      </c>
      <c r="I154" s="1" t="s">
        <v>309</v>
      </c>
      <c r="J154" s="1" t="s">
        <v>26</v>
      </c>
      <c r="K154" s="1" t="s">
        <v>27</v>
      </c>
      <c r="L154" s="1" t="s">
        <v>28</v>
      </c>
      <c r="M154" s="1" t="s">
        <v>29</v>
      </c>
      <c r="N154" s="1" t="s">
        <v>99</v>
      </c>
      <c r="O154" s="2" t="n">
        <v>539</v>
      </c>
      <c r="P154" s="2" t="n">
        <f aca="false">O154/H154</f>
        <v>359.333333333333</v>
      </c>
      <c r="Q154" s="3" t="n">
        <f aca="false">(R154/P154-1)*-1</f>
        <v>0.195732838589981</v>
      </c>
      <c r="R154" s="2" t="n">
        <v>289</v>
      </c>
      <c r="S154" s="2" t="n">
        <v>0</v>
      </c>
    </row>
    <row r="155" customFormat="false" ht="14" hidden="false" customHeight="false" outlineLevel="0" collapsed="false">
      <c r="A155" s="1" t="s">
        <v>19</v>
      </c>
      <c r="B155" s="1" t="s">
        <v>20</v>
      </c>
      <c r="C155" s="1" t="s">
        <v>21</v>
      </c>
      <c r="D155" s="1" t="s">
        <v>22</v>
      </c>
      <c r="E155" s="10" t="n">
        <v>521921254282911</v>
      </c>
      <c r="F155" s="1" t="s">
        <v>312</v>
      </c>
      <c r="G155" s="1" t="s">
        <v>24</v>
      </c>
      <c r="H155" s="1" t="n">
        <v>2</v>
      </c>
      <c r="I155" s="1" t="s">
        <v>309</v>
      </c>
      <c r="J155" s="1" t="s">
        <v>26</v>
      </c>
      <c r="K155" s="1" t="s">
        <v>195</v>
      </c>
      <c r="L155" s="1" t="s">
        <v>32</v>
      </c>
      <c r="M155" s="1" t="s">
        <v>29</v>
      </c>
      <c r="N155" s="1" t="s">
        <v>99</v>
      </c>
      <c r="O155" s="2" t="n">
        <v>719</v>
      </c>
      <c r="P155" s="2" t="n">
        <f aca="false">O155/H155</f>
        <v>359.5</v>
      </c>
      <c r="Q155" s="3" t="n">
        <f aca="false">(R155/P155-1)*-1</f>
        <v>0.196105702364395</v>
      </c>
      <c r="R155" s="2" t="n">
        <v>289</v>
      </c>
      <c r="S155" s="2" t="n">
        <v>0</v>
      </c>
    </row>
    <row r="156" customFormat="false" ht="14" hidden="false" customHeight="false" outlineLevel="0" collapsed="false">
      <c r="A156" s="1" t="s">
        <v>19</v>
      </c>
      <c r="B156" s="1" t="s">
        <v>20</v>
      </c>
      <c r="C156" s="1" t="s">
        <v>21</v>
      </c>
      <c r="D156" s="1" t="s">
        <v>22</v>
      </c>
      <c r="E156" s="10" t="n">
        <v>522683254478911</v>
      </c>
      <c r="F156" s="1" t="s">
        <v>313</v>
      </c>
      <c r="G156" s="1" t="s">
        <v>24</v>
      </c>
      <c r="H156" s="1" t="n">
        <v>2</v>
      </c>
      <c r="I156" s="1" t="s">
        <v>309</v>
      </c>
      <c r="J156" s="1" t="s">
        <v>26</v>
      </c>
      <c r="K156" s="1" t="s">
        <v>42</v>
      </c>
      <c r="L156" s="1" t="s">
        <v>32</v>
      </c>
      <c r="M156" s="1" t="s">
        <v>29</v>
      </c>
      <c r="N156" s="1" t="s">
        <v>99</v>
      </c>
      <c r="O156" s="2" t="n">
        <v>739</v>
      </c>
      <c r="P156" s="2" t="n">
        <f aca="false">O156/H156</f>
        <v>369.5</v>
      </c>
      <c r="Q156" s="3" t="n">
        <f aca="false">(R156/P156-1)*-1</f>
        <v>0.21786197564276</v>
      </c>
      <c r="R156" s="2" t="n">
        <v>289</v>
      </c>
      <c r="S156" s="2" t="n">
        <v>0</v>
      </c>
    </row>
    <row r="157" customFormat="false" ht="14" hidden="false" customHeight="false" outlineLevel="0" collapsed="false">
      <c r="A157" s="1" t="s">
        <v>19</v>
      </c>
      <c r="B157" s="1" t="s">
        <v>20</v>
      </c>
      <c r="C157" s="1" t="s">
        <v>21</v>
      </c>
      <c r="D157" s="1" t="s">
        <v>22</v>
      </c>
      <c r="E157" s="10" t="n">
        <v>522515254863911</v>
      </c>
      <c r="F157" s="1" t="s">
        <v>314</v>
      </c>
      <c r="G157" s="1" t="s">
        <v>24</v>
      </c>
      <c r="H157" s="1" t="n">
        <v>2</v>
      </c>
      <c r="I157" s="1" t="s">
        <v>309</v>
      </c>
      <c r="J157" s="1" t="s">
        <v>26</v>
      </c>
      <c r="K157" s="1" t="s">
        <v>42</v>
      </c>
      <c r="L157" s="1" t="s">
        <v>32</v>
      </c>
      <c r="M157" s="1" t="s">
        <v>29</v>
      </c>
      <c r="N157" s="1" t="s">
        <v>99</v>
      </c>
      <c r="O157" s="2" t="n">
        <v>739</v>
      </c>
      <c r="P157" s="2" t="n">
        <f aca="false">O157/H157</f>
        <v>369.5</v>
      </c>
      <c r="Q157" s="3" t="n">
        <f aca="false">(R157/P157-1)*-1</f>
        <v>0.21786197564276</v>
      </c>
      <c r="R157" s="2" t="n">
        <v>289</v>
      </c>
      <c r="S157" s="2" t="n">
        <v>0</v>
      </c>
    </row>
    <row r="158" customFormat="false" ht="14" hidden="false" customHeight="false" outlineLevel="0" collapsed="false">
      <c r="A158" s="1" t="s">
        <v>19</v>
      </c>
      <c r="B158" s="1" t="s">
        <v>20</v>
      </c>
      <c r="C158" s="1" t="s">
        <v>21</v>
      </c>
      <c r="D158" s="1" t="s">
        <v>22</v>
      </c>
      <c r="E158" s="10" t="n">
        <v>522799254011911</v>
      </c>
      <c r="F158" s="1" t="s">
        <v>315</v>
      </c>
      <c r="G158" s="1" t="s">
        <v>24</v>
      </c>
      <c r="H158" s="1" t="n">
        <v>2</v>
      </c>
      <c r="I158" s="1" t="s">
        <v>309</v>
      </c>
      <c r="J158" s="1" t="s">
        <v>26</v>
      </c>
      <c r="K158" s="1" t="s">
        <v>27</v>
      </c>
      <c r="L158" s="1" t="s">
        <v>32</v>
      </c>
      <c r="M158" s="1" t="s">
        <v>29</v>
      </c>
      <c r="N158" s="1" t="s">
        <v>99</v>
      </c>
      <c r="O158" s="2" t="n">
        <v>739</v>
      </c>
      <c r="P158" s="2" t="n">
        <f aca="false">O158/H158</f>
        <v>369.5</v>
      </c>
      <c r="Q158" s="3" t="n">
        <f aca="false">(R158/P158-1)*-1</f>
        <v>0.21786197564276</v>
      </c>
      <c r="R158" s="2" t="n">
        <v>289</v>
      </c>
      <c r="S158" s="2" t="n">
        <v>0</v>
      </c>
    </row>
    <row r="159" customFormat="false" ht="14" hidden="false" customHeight="false" outlineLevel="0" collapsed="false">
      <c r="A159" s="1" t="s">
        <v>19</v>
      </c>
      <c r="B159" s="1" t="s">
        <v>20</v>
      </c>
      <c r="C159" s="1" t="s">
        <v>21</v>
      </c>
      <c r="D159" s="1" t="s">
        <v>22</v>
      </c>
      <c r="E159" s="10" t="n">
        <v>522513254282911</v>
      </c>
      <c r="F159" s="1" t="s">
        <v>316</v>
      </c>
      <c r="G159" s="1" t="s">
        <v>24</v>
      </c>
      <c r="H159" s="1" t="n">
        <v>2</v>
      </c>
      <c r="I159" s="1" t="s">
        <v>309</v>
      </c>
      <c r="J159" s="1" t="s">
        <v>26</v>
      </c>
      <c r="K159" s="1" t="s">
        <v>42</v>
      </c>
      <c r="L159" s="1" t="s">
        <v>32</v>
      </c>
      <c r="M159" s="1" t="s">
        <v>29</v>
      </c>
      <c r="N159" s="1" t="s">
        <v>99</v>
      </c>
      <c r="O159" s="2" t="n">
        <v>769</v>
      </c>
      <c r="P159" s="2" t="n">
        <f aca="false">O159/H159</f>
        <v>384.5</v>
      </c>
      <c r="Q159" s="3" t="n">
        <f aca="false">(R159/P159-1)*-1</f>
        <v>0.248374512353706</v>
      </c>
      <c r="R159" s="2" t="n">
        <v>289</v>
      </c>
      <c r="S159" s="2" t="n">
        <v>0</v>
      </c>
    </row>
    <row r="160" customFormat="false" ht="14" hidden="false" customHeight="false" outlineLevel="0" collapsed="false">
      <c r="A160" s="1" t="s">
        <v>19</v>
      </c>
      <c r="B160" s="1" t="s">
        <v>20</v>
      </c>
      <c r="C160" s="1" t="s">
        <v>21</v>
      </c>
      <c r="D160" s="1" t="s">
        <v>22</v>
      </c>
      <c r="E160" s="10" t="n">
        <v>522187254806911</v>
      </c>
      <c r="F160" s="1" t="s">
        <v>317</v>
      </c>
      <c r="G160" s="1" t="s">
        <v>24</v>
      </c>
      <c r="H160" s="1" t="n">
        <v>2</v>
      </c>
      <c r="I160" s="1" t="s">
        <v>309</v>
      </c>
      <c r="J160" s="1" t="s">
        <v>26</v>
      </c>
      <c r="K160" s="1" t="s">
        <v>27</v>
      </c>
      <c r="L160" s="1" t="s">
        <v>32</v>
      </c>
      <c r="M160" s="1" t="s">
        <v>29</v>
      </c>
      <c r="N160" s="1" t="s">
        <v>99</v>
      </c>
      <c r="O160" s="2" t="n">
        <v>729</v>
      </c>
      <c r="P160" s="2" t="n">
        <f aca="false">O160/H160</f>
        <v>364.5</v>
      </c>
      <c r="Q160" s="3" t="n">
        <f aca="false">(R160/P160-1)*-1</f>
        <v>0.207133058984911</v>
      </c>
      <c r="R160" s="2" t="n">
        <v>289</v>
      </c>
      <c r="S160" s="2" t="n">
        <v>0</v>
      </c>
    </row>
    <row r="161" customFormat="false" ht="14" hidden="false" customHeight="false" outlineLevel="0" collapsed="false">
      <c r="A161" s="1" t="s">
        <v>92</v>
      </c>
      <c r="B161" s="1" t="s">
        <v>20</v>
      </c>
      <c r="C161" s="1" t="s">
        <v>21</v>
      </c>
      <c r="D161" s="1" t="s">
        <v>93</v>
      </c>
      <c r="E161" s="1" t="s">
        <v>318</v>
      </c>
      <c r="F161" s="1" t="s">
        <v>319</v>
      </c>
      <c r="G161" s="1" t="s">
        <v>24</v>
      </c>
      <c r="H161" s="1" t="n">
        <v>1.83</v>
      </c>
      <c r="I161" s="1" t="s">
        <v>288</v>
      </c>
      <c r="J161" s="1" t="s">
        <v>26</v>
      </c>
      <c r="K161" s="1" t="s">
        <v>58</v>
      </c>
      <c r="L161" s="1" t="s">
        <v>59</v>
      </c>
      <c r="M161" s="1" t="s">
        <v>29</v>
      </c>
      <c r="N161" s="1" t="s">
        <v>99</v>
      </c>
      <c r="O161" s="2" t="n">
        <v>629</v>
      </c>
      <c r="P161" s="2" t="n">
        <f aca="false">O161/H161</f>
        <v>343.715846994536</v>
      </c>
      <c r="Q161" s="3" t="n">
        <f aca="false">(R161/P161-1)*-1</f>
        <v>0.246470588235294</v>
      </c>
      <c r="R161" s="2" t="n">
        <v>259</v>
      </c>
      <c r="S161" s="2" t="n">
        <v>249</v>
      </c>
    </row>
    <row r="162" customFormat="false" ht="14" hidden="false" customHeight="false" outlineLevel="0" collapsed="false">
      <c r="A162" s="1" t="s">
        <v>92</v>
      </c>
      <c r="B162" s="1" t="s">
        <v>20</v>
      </c>
      <c r="C162" s="1" t="s">
        <v>21</v>
      </c>
      <c r="D162" s="1" t="s">
        <v>93</v>
      </c>
      <c r="E162" s="1" t="s">
        <v>320</v>
      </c>
      <c r="F162" s="1" t="s">
        <v>321</v>
      </c>
      <c r="G162" s="1" t="s">
        <v>24</v>
      </c>
      <c r="H162" s="1" t="n">
        <v>1.76</v>
      </c>
      <c r="I162" s="1" t="s">
        <v>273</v>
      </c>
      <c r="J162" s="1" t="s">
        <v>26</v>
      </c>
      <c r="K162" s="1" t="s">
        <v>58</v>
      </c>
      <c r="L162" s="1" t="s">
        <v>59</v>
      </c>
      <c r="M162" s="1" t="s">
        <v>220</v>
      </c>
      <c r="N162" s="1" t="s">
        <v>99</v>
      </c>
      <c r="O162" s="2" t="n">
        <v>629</v>
      </c>
      <c r="P162" s="2" t="n">
        <f aca="false">O162/H162</f>
        <v>357.386363636364</v>
      </c>
      <c r="Q162" s="3" t="n">
        <f aca="false">(R162/P162-1)*-1</f>
        <v>0.275294117647059</v>
      </c>
      <c r="R162" s="2" t="n">
        <v>259</v>
      </c>
      <c r="S162" s="2" t="n">
        <v>229</v>
      </c>
    </row>
    <row r="163" customFormat="false" ht="14" hidden="false" customHeight="false" outlineLevel="0" collapsed="false">
      <c r="A163" s="1" t="s">
        <v>92</v>
      </c>
      <c r="B163" s="1" t="s">
        <v>20</v>
      </c>
      <c r="C163" s="1" t="s">
        <v>21</v>
      </c>
      <c r="D163" s="1" t="s">
        <v>93</v>
      </c>
      <c r="E163" s="1" t="s">
        <v>322</v>
      </c>
      <c r="F163" s="1" t="s">
        <v>323</v>
      </c>
      <c r="G163" s="1" t="s">
        <v>24</v>
      </c>
      <c r="H163" s="1" t="n">
        <v>1.42</v>
      </c>
      <c r="I163" s="1" t="s">
        <v>278</v>
      </c>
      <c r="J163" s="1" t="s">
        <v>26</v>
      </c>
      <c r="K163" s="1" t="s">
        <v>27</v>
      </c>
      <c r="L163" s="1" t="s">
        <v>56</v>
      </c>
      <c r="M163" s="1" t="s">
        <v>215</v>
      </c>
      <c r="N163" s="1" t="s">
        <v>99</v>
      </c>
      <c r="O163" s="2" t="n">
        <v>559</v>
      </c>
      <c r="P163" s="2" t="n">
        <f aca="false">O163/H163</f>
        <v>393.661971830986</v>
      </c>
      <c r="Q163" s="3" t="n">
        <f aca="false">(R163/P163-1)*-1</f>
        <v>0.291270125223614</v>
      </c>
      <c r="R163" s="2" t="n">
        <v>279</v>
      </c>
      <c r="S163" s="2" t="n">
        <v>249</v>
      </c>
    </row>
    <row r="164" customFormat="false" ht="14" hidden="false" customHeight="false" outlineLevel="0" collapsed="false">
      <c r="A164" s="1" t="s">
        <v>92</v>
      </c>
      <c r="B164" s="1" t="s">
        <v>20</v>
      </c>
      <c r="C164" s="1" t="s">
        <v>21</v>
      </c>
      <c r="D164" s="1" t="s">
        <v>93</v>
      </c>
      <c r="E164" s="1" t="s">
        <v>324</v>
      </c>
      <c r="F164" s="1" t="s">
        <v>325</v>
      </c>
      <c r="G164" s="1" t="s">
        <v>24</v>
      </c>
      <c r="H164" s="1" t="n">
        <v>1.42</v>
      </c>
      <c r="I164" s="1" t="s">
        <v>278</v>
      </c>
      <c r="J164" s="1" t="s">
        <v>26</v>
      </c>
      <c r="K164" s="1" t="s">
        <v>42</v>
      </c>
      <c r="L164" s="1" t="s">
        <v>131</v>
      </c>
      <c r="M164" s="1" t="s">
        <v>220</v>
      </c>
      <c r="N164" s="1" t="s">
        <v>99</v>
      </c>
      <c r="O164" s="2" t="n">
        <v>459</v>
      </c>
      <c r="P164" s="2" t="n">
        <f aca="false">O164/H164</f>
        <v>323.239436619718</v>
      </c>
      <c r="Q164" s="3" t="n">
        <f aca="false">(R164/P164-1)*-1</f>
        <v>0.105925925925926</v>
      </c>
      <c r="R164" s="2" t="n">
        <v>289</v>
      </c>
      <c r="S164" s="2" t="n">
        <v>249</v>
      </c>
    </row>
    <row r="165" customFormat="false" ht="14" hidden="false" customHeight="false" outlineLevel="0" collapsed="false">
      <c r="A165" s="1" t="s">
        <v>92</v>
      </c>
      <c r="B165" s="1" t="s">
        <v>20</v>
      </c>
      <c r="C165" s="1" t="s">
        <v>21</v>
      </c>
      <c r="D165" s="1" t="s">
        <v>93</v>
      </c>
      <c r="E165" s="1" t="s">
        <v>326</v>
      </c>
      <c r="F165" s="1" t="s">
        <v>327</v>
      </c>
      <c r="G165" s="1" t="s">
        <v>24</v>
      </c>
      <c r="H165" s="1" t="n">
        <v>1.42</v>
      </c>
      <c r="I165" s="1" t="s">
        <v>278</v>
      </c>
      <c r="J165" s="1" t="s">
        <v>26</v>
      </c>
      <c r="K165" s="1" t="s">
        <v>27</v>
      </c>
      <c r="L165" s="1" t="s">
        <v>97</v>
      </c>
      <c r="M165" s="1" t="s">
        <v>215</v>
      </c>
      <c r="N165" s="1" t="s">
        <v>99</v>
      </c>
      <c r="O165" s="2" t="n">
        <v>559</v>
      </c>
      <c r="P165" s="2" t="n">
        <f aca="false">O165/H165</f>
        <v>393.661971830986</v>
      </c>
      <c r="Q165" s="3" t="n">
        <f aca="false">(R165/P165-1)*-1</f>
        <v>0.291270125223614</v>
      </c>
      <c r="R165" s="2" t="n">
        <v>279</v>
      </c>
      <c r="S165" s="2" t="n">
        <v>249</v>
      </c>
    </row>
    <row r="166" customFormat="false" ht="14" hidden="false" customHeight="false" outlineLevel="0" collapsed="false">
      <c r="A166" s="1" t="s">
        <v>92</v>
      </c>
      <c r="B166" s="1" t="s">
        <v>20</v>
      </c>
      <c r="C166" s="1" t="s">
        <v>21</v>
      </c>
      <c r="D166" s="1" t="s">
        <v>93</v>
      </c>
      <c r="E166" s="1" t="s">
        <v>328</v>
      </c>
      <c r="F166" s="1" t="s">
        <v>329</v>
      </c>
      <c r="G166" s="1" t="s">
        <v>24</v>
      </c>
      <c r="H166" s="1" t="n">
        <v>1.42</v>
      </c>
      <c r="I166" s="1" t="s">
        <v>278</v>
      </c>
      <c r="J166" s="1" t="s">
        <v>26</v>
      </c>
      <c r="K166" s="1" t="s">
        <v>27</v>
      </c>
      <c r="L166" s="1" t="s">
        <v>97</v>
      </c>
      <c r="M166" s="1" t="s">
        <v>98</v>
      </c>
      <c r="N166" s="1" t="s">
        <v>99</v>
      </c>
      <c r="O166" s="2" t="n">
        <v>459</v>
      </c>
      <c r="P166" s="2" t="n">
        <f aca="false">O166/H166</f>
        <v>323.239436619718</v>
      </c>
      <c r="Q166" s="3" t="n">
        <f aca="false">(R166/P166-1)*-1</f>
        <v>0.105925925925926</v>
      </c>
      <c r="R166" s="2" t="n">
        <v>289</v>
      </c>
      <c r="S166" s="2" t="n">
        <v>269</v>
      </c>
    </row>
    <row r="167" customFormat="false" ht="14" hidden="false" customHeight="false" outlineLevel="0" collapsed="false">
      <c r="A167" s="1" t="s">
        <v>92</v>
      </c>
      <c r="B167" s="1" t="s">
        <v>20</v>
      </c>
      <c r="C167" s="1" t="s">
        <v>21</v>
      </c>
      <c r="D167" s="1" t="s">
        <v>93</v>
      </c>
      <c r="E167" s="1" t="s">
        <v>330</v>
      </c>
      <c r="F167" s="1" t="s">
        <v>331</v>
      </c>
      <c r="G167" s="1" t="s">
        <v>24</v>
      </c>
      <c r="H167" s="1" t="n">
        <v>1.42</v>
      </c>
      <c r="I167" s="1" t="s">
        <v>278</v>
      </c>
      <c r="J167" s="1" t="s">
        <v>26</v>
      </c>
      <c r="K167" s="1" t="s">
        <v>42</v>
      </c>
      <c r="L167" s="1" t="s">
        <v>32</v>
      </c>
      <c r="M167" s="1" t="s">
        <v>29</v>
      </c>
      <c r="N167" s="1" t="s">
        <v>99</v>
      </c>
      <c r="O167" s="2" t="n">
        <v>559</v>
      </c>
      <c r="P167" s="2" t="n">
        <f aca="false">O167/H167</f>
        <v>393.661971830986</v>
      </c>
      <c r="Q167" s="3" t="n">
        <f aca="false">(R167/P167-1)*-1</f>
        <v>0.265867620751342</v>
      </c>
      <c r="R167" s="2" t="n">
        <v>289</v>
      </c>
      <c r="S167" s="2" t="n">
        <v>279</v>
      </c>
    </row>
    <row r="168" customFormat="false" ht="14" hidden="false" customHeight="false" outlineLevel="0" collapsed="false">
      <c r="A168" s="1" t="s">
        <v>92</v>
      </c>
      <c r="B168" s="1" t="s">
        <v>20</v>
      </c>
      <c r="C168" s="1" t="s">
        <v>21</v>
      </c>
      <c r="D168" s="1" t="s">
        <v>93</v>
      </c>
      <c r="E168" s="1" t="s">
        <v>332</v>
      </c>
      <c r="F168" s="1" t="s">
        <v>333</v>
      </c>
      <c r="G168" s="1" t="s">
        <v>24</v>
      </c>
      <c r="H168" s="1" t="n">
        <v>1.42</v>
      </c>
      <c r="I168" s="1" t="s">
        <v>278</v>
      </c>
      <c r="J168" s="1" t="s">
        <v>26</v>
      </c>
      <c r="K168" s="1" t="s">
        <v>42</v>
      </c>
      <c r="L168" s="1" t="s">
        <v>32</v>
      </c>
      <c r="M168" s="1" t="s">
        <v>29</v>
      </c>
      <c r="N168" s="1" t="s">
        <v>99</v>
      </c>
      <c r="O168" s="2" t="n">
        <v>559</v>
      </c>
      <c r="P168" s="2" t="n">
        <f aca="false">O168/H168</f>
        <v>393.661971830986</v>
      </c>
      <c r="Q168" s="3" t="n">
        <f aca="false">(R168/P168-1)*-1</f>
        <v>0.265867620751342</v>
      </c>
      <c r="R168" s="2" t="n">
        <v>289</v>
      </c>
      <c r="S168" s="2" t="n">
        <v>279</v>
      </c>
    </row>
    <row r="169" customFormat="false" ht="14" hidden="false" customHeight="false" outlineLevel="0" collapsed="false">
      <c r="A169" s="1" t="s">
        <v>92</v>
      </c>
      <c r="B169" s="1" t="s">
        <v>20</v>
      </c>
      <c r="C169" s="1" t="s">
        <v>21</v>
      </c>
      <c r="D169" s="1" t="s">
        <v>93</v>
      </c>
      <c r="E169" s="1" t="s">
        <v>334</v>
      </c>
      <c r="F169" s="1" t="s">
        <v>335</v>
      </c>
      <c r="G169" s="1" t="s">
        <v>24</v>
      </c>
      <c r="H169" s="1" t="n">
        <v>1.42</v>
      </c>
      <c r="I169" s="1" t="s">
        <v>278</v>
      </c>
      <c r="J169" s="1" t="s">
        <v>26</v>
      </c>
      <c r="K169" s="1" t="s">
        <v>195</v>
      </c>
      <c r="L169" s="1" t="s">
        <v>131</v>
      </c>
      <c r="M169" s="1" t="s">
        <v>98</v>
      </c>
      <c r="N169" s="1" t="s">
        <v>99</v>
      </c>
      <c r="O169" s="2" t="n">
        <v>459</v>
      </c>
      <c r="P169" s="2" t="n">
        <f aca="false">O169/H169</f>
        <v>323.239436619718</v>
      </c>
      <c r="Q169" s="3" t="n">
        <f aca="false">(R169/P169-1)*-1</f>
        <v>0.105925925925926</v>
      </c>
      <c r="R169" s="2" t="n">
        <v>289</v>
      </c>
      <c r="S169" s="2" t="n">
        <v>279</v>
      </c>
    </row>
    <row r="170" customFormat="false" ht="14" hidden="false" customHeight="false" outlineLevel="0" collapsed="false">
      <c r="A170" s="1" t="s">
        <v>92</v>
      </c>
      <c r="B170" s="1" t="s">
        <v>20</v>
      </c>
      <c r="C170" s="1" t="s">
        <v>21</v>
      </c>
      <c r="D170" s="1" t="s">
        <v>93</v>
      </c>
      <c r="E170" s="1" t="s">
        <v>336</v>
      </c>
      <c r="F170" s="1" t="s">
        <v>337</v>
      </c>
      <c r="G170" s="1" t="s">
        <v>24</v>
      </c>
      <c r="H170" s="1" t="n">
        <v>1.42</v>
      </c>
      <c r="I170" s="1" t="s">
        <v>278</v>
      </c>
      <c r="J170" s="1" t="s">
        <v>26</v>
      </c>
      <c r="K170" s="1" t="s">
        <v>27</v>
      </c>
      <c r="L170" s="1" t="s">
        <v>97</v>
      </c>
      <c r="M170" s="1" t="s">
        <v>98</v>
      </c>
      <c r="N170" s="1" t="s">
        <v>99</v>
      </c>
      <c r="O170" s="2" t="n">
        <v>459</v>
      </c>
      <c r="P170" s="2" t="n">
        <f aca="false">O170/H170</f>
        <v>323.239436619718</v>
      </c>
      <c r="Q170" s="3" t="n">
        <f aca="false">(R170/P170-1)*-1</f>
        <v>0.105925925925926</v>
      </c>
      <c r="R170" s="2" t="n">
        <v>289</v>
      </c>
      <c r="S170" s="2" t="n">
        <v>259</v>
      </c>
    </row>
    <row r="171" customFormat="false" ht="14" hidden="false" customHeight="false" outlineLevel="0" collapsed="false">
      <c r="A171" s="1" t="s">
        <v>92</v>
      </c>
      <c r="B171" s="1" t="s">
        <v>20</v>
      </c>
      <c r="C171" s="1" t="s">
        <v>21</v>
      </c>
      <c r="D171" s="1" t="s">
        <v>93</v>
      </c>
      <c r="E171" s="1" t="s">
        <v>338</v>
      </c>
      <c r="F171" s="1" t="s">
        <v>339</v>
      </c>
      <c r="G171" s="1" t="s">
        <v>24</v>
      </c>
      <c r="H171" s="1" t="n">
        <v>1.42</v>
      </c>
      <c r="I171" s="1" t="s">
        <v>278</v>
      </c>
      <c r="J171" s="1" t="s">
        <v>26</v>
      </c>
      <c r="K171" s="1" t="s">
        <v>42</v>
      </c>
      <c r="L171" s="1" t="s">
        <v>63</v>
      </c>
      <c r="M171" s="1" t="s">
        <v>29</v>
      </c>
      <c r="N171" s="1" t="s">
        <v>99</v>
      </c>
      <c r="O171" s="2" t="n">
        <v>559</v>
      </c>
      <c r="P171" s="2" t="n">
        <f aca="false">O171/H171</f>
        <v>393.661971830986</v>
      </c>
      <c r="Q171" s="3" t="n">
        <f aca="false">(R171/P171-1)*-1</f>
        <v>0.265867620751342</v>
      </c>
      <c r="R171" s="2" t="n">
        <v>289</v>
      </c>
      <c r="S171" s="2" t="n">
        <v>269</v>
      </c>
    </row>
    <row r="172" customFormat="false" ht="14" hidden="false" customHeight="false" outlineLevel="0" collapsed="false">
      <c r="A172" s="1" t="s">
        <v>19</v>
      </c>
      <c r="B172" s="1" t="s">
        <v>20</v>
      </c>
      <c r="C172" s="1" t="s">
        <v>21</v>
      </c>
      <c r="D172" s="1" t="s">
        <v>22</v>
      </c>
      <c r="E172" s="10" t="n">
        <v>522715254007911</v>
      </c>
      <c r="F172" s="1" t="s">
        <v>340</v>
      </c>
      <c r="G172" s="1" t="s">
        <v>24</v>
      </c>
      <c r="H172" s="1" t="n">
        <v>2</v>
      </c>
      <c r="I172" s="1" t="s">
        <v>309</v>
      </c>
      <c r="J172" s="1" t="s">
        <v>26</v>
      </c>
      <c r="K172" s="1" t="s">
        <v>27</v>
      </c>
      <c r="L172" s="1" t="s">
        <v>56</v>
      </c>
      <c r="M172" s="1" t="s">
        <v>209</v>
      </c>
      <c r="N172" s="1" t="s">
        <v>99</v>
      </c>
      <c r="O172" s="2" t="n">
        <v>729</v>
      </c>
      <c r="P172" s="2" t="n">
        <f aca="false">O172/H172</f>
        <v>364.5</v>
      </c>
      <c r="Q172" s="3" t="n">
        <f aca="false">(R172/P172-1)*-1</f>
        <v>0.179698216735254</v>
      </c>
      <c r="R172" s="2" t="n">
        <v>299</v>
      </c>
      <c r="S172" s="2" t="n">
        <v>0</v>
      </c>
    </row>
    <row r="173" customFormat="false" ht="14" hidden="false" customHeight="false" outlineLevel="0" collapsed="false">
      <c r="A173" s="1" t="s">
        <v>19</v>
      </c>
      <c r="B173" s="1" t="s">
        <v>20</v>
      </c>
      <c r="C173" s="1" t="s">
        <v>21</v>
      </c>
      <c r="D173" s="1" t="s">
        <v>22</v>
      </c>
      <c r="E173" s="10" t="n">
        <v>522975254125911</v>
      </c>
      <c r="F173" s="1" t="s">
        <v>341</v>
      </c>
      <c r="G173" s="1" t="s">
        <v>24</v>
      </c>
      <c r="H173" s="1" t="n">
        <v>2</v>
      </c>
      <c r="I173" s="1" t="s">
        <v>309</v>
      </c>
      <c r="J173" s="1" t="s">
        <v>26</v>
      </c>
      <c r="K173" s="1" t="s">
        <v>27</v>
      </c>
      <c r="L173" s="1" t="s">
        <v>28</v>
      </c>
      <c r="M173" s="1" t="s">
        <v>209</v>
      </c>
      <c r="N173" s="1" t="s">
        <v>99</v>
      </c>
      <c r="O173" s="2" t="n">
        <v>729</v>
      </c>
      <c r="P173" s="2" t="n">
        <f aca="false">O173/H173</f>
        <v>364.5</v>
      </c>
      <c r="Q173" s="3" t="n">
        <f aca="false">(R173/P173-1)*-1</f>
        <v>0.179698216735254</v>
      </c>
      <c r="R173" s="2" t="n">
        <v>299</v>
      </c>
      <c r="S173" s="2" t="n">
        <v>0</v>
      </c>
    </row>
    <row r="174" customFormat="false" ht="14" hidden="false" customHeight="false" outlineLevel="0" collapsed="false">
      <c r="A174" s="1" t="s">
        <v>19</v>
      </c>
      <c r="B174" s="1" t="s">
        <v>20</v>
      </c>
      <c r="C174" s="1" t="s">
        <v>21</v>
      </c>
      <c r="D174" s="1" t="s">
        <v>22</v>
      </c>
      <c r="E174" s="10" t="n">
        <v>522214254305911</v>
      </c>
      <c r="F174" s="1" t="s">
        <v>342</v>
      </c>
      <c r="G174" s="1" t="s">
        <v>24</v>
      </c>
      <c r="H174" s="1" t="n">
        <v>2</v>
      </c>
      <c r="I174" s="1" t="s">
        <v>309</v>
      </c>
      <c r="J174" s="1" t="s">
        <v>26</v>
      </c>
      <c r="K174" s="1" t="s">
        <v>27</v>
      </c>
      <c r="L174" s="1" t="s">
        <v>63</v>
      </c>
      <c r="M174" s="1" t="s">
        <v>209</v>
      </c>
      <c r="N174" s="1" t="s">
        <v>99</v>
      </c>
      <c r="O174" s="2" t="n">
        <v>729</v>
      </c>
      <c r="P174" s="2" t="n">
        <f aca="false">O174/H174</f>
        <v>364.5</v>
      </c>
      <c r="Q174" s="3" t="n">
        <f aca="false">(R174/P174-1)*-1</f>
        <v>0.179698216735254</v>
      </c>
      <c r="R174" s="2" t="n">
        <v>299</v>
      </c>
      <c r="S174" s="2" t="n">
        <v>0</v>
      </c>
    </row>
    <row r="175" customFormat="false" ht="14" hidden="false" customHeight="false" outlineLevel="0" collapsed="false">
      <c r="A175" s="1" t="s">
        <v>19</v>
      </c>
      <c r="B175" s="1" t="s">
        <v>20</v>
      </c>
      <c r="C175" s="1" t="s">
        <v>21</v>
      </c>
      <c r="D175" s="1" t="s">
        <v>22</v>
      </c>
      <c r="E175" s="10" t="n">
        <v>522974254021911</v>
      </c>
      <c r="F175" s="1" t="s">
        <v>343</v>
      </c>
      <c r="G175" s="1" t="s">
        <v>24</v>
      </c>
      <c r="H175" s="1" t="n">
        <v>2</v>
      </c>
      <c r="I175" s="1" t="s">
        <v>309</v>
      </c>
      <c r="J175" s="1" t="s">
        <v>26</v>
      </c>
      <c r="K175" s="1" t="s">
        <v>27</v>
      </c>
      <c r="L175" s="1" t="s">
        <v>56</v>
      </c>
      <c r="M175" s="1" t="s">
        <v>209</v>
      </c>
      <c r="N175" s="1" t="s">
        <v>99</v>
      </c>
      <c r="O175" s="2" t="n">
        <v>729</v>
      </c>
      <c r="P175" s="2" t="n">
        <f aca="false">O175/H175</f>
        <v>364.5</v>
      </c>
      <c r="Q175" s="3" t="n">
        <f aca="false">(R175/P175-1)*-1</f>
        <v>0.179698216735254</v>
      </c>
      <c r="R175" s="2" t="n">
        <v>299</v>
      </c>
      <c r="S175" s="2" t="n">
        <v>0</v>
      </c>
    </row>
    <row r="176" customFormat="false" ht="14" hidden="false" customHeight="false" outlineLevel="0" collapsed="false">
      <c r="A176" s="1" t="s">
        <v>19</v>
      </c>
      <c r="B176" s="1" t="s">
        <v>20</v>
      </c>
      <c r="C176" s="1" t="s">
        <v>21</v>
      </c>
      <c r="D176" s="1" t="s">
        <v>22</v>
      </c>
      <c r="E176" s="10" t="n">
        <v>522975254011911</v>
      </c>
      <c r="F176" s="1" t="s">
        <v>344</v>
      </c>
      <c r="G176" s="1" t="s">
        <v>24</v>
      </c>
      <c r="H176" s="1" t="n">
        <v>2</v>
      </c>
      <c r="I176" s="1" t="s">
        <v>309</v>
      </c>
      <c r="J176" s="1" t="s">
        <v>26</v>
      </c>
      <c r="K176" s="1" t="s">
        <v>27</v>
      </c>
      <c r="L176" s="1" t="s">
        <v>32</v>
      </c>
      <c r="M176" s="1" t="s">
        <v>209</v>
      </c>
      <c r="N176" s="1" t="s">
        <v>99</v>
      </c>
      <c r="O176" s="2" t="n">
        <v>729</v>
      </c>
      <c r="P176" s="2" t="n">
        <f aca="false">O176/H176</f>
        <v>364.5</v>
      </c>
      <c r="Q176" s="3" t="n">
        <f aca="false">(R176/P176-1)*-1</f>
        <v>0.179698216735254</v>
      </c>
      <c r="R176" s="2" t="n">
        <v>299</v>
      </c>
      <c r="S176" s="2" t="n">
        <v>0</v>
      </c>
    </row>
    <row r="177" customFormat="false" ht="14" hidden="false" customHeight="false" outlineLevel="0" collapsed="false">
      <c r="A177" s="1" t="s">
        <v>19</v>
      </c>
      <c r="B177" s="1" t="s">
        <v>20</v>
      </c>
      <c r="C177" s="1" t="s">
        <v>21</v>
      </c>
      <c r="D177" s="1" t="s">
        <v>22</v>
      </c>
      <c r="E177" s="10" t="n">
        <v>522839353007271</v>
      </c>
      <c r="F177" s="1" t="s">
        <v>345</v>
      </c>
      <c r="G177" s="1" t="s">
        <v>24</v>
      </c>
      <c r="H177" s="1" t="n">
        <v>1.44</v>
      </c>
      <c r="I177" s="1" t="s">
        <v>207</v>
      </c>
      <c r="J177" s="1" t="s">
        <v>208</v>
      </c>
      <c r="K177" s="1" t="s">
        <v>27</v>
      </c>
      <c r="L177" s="1" t="s">
        <v>56</v>
      </c>
      <c r="M177" s="1" t="s">
        <v>209</v>
      </c>
      <c r="N177" s="1" t="s">
        <v>99</v>
      </c>
      <c r="O177" s="2" t="n">
        <v>709</v>
      </c>
      <c r="P177" s="2" t="n">
        <f aca="false">O177/H177</f>
        <v>492.361111111111</v>
      </c>
      <c r="Q177" s="3" t="n">
        <f aca="false">(R177/P177-1)*-1</f>
        <v>0.230239774330042</v>
      </c>
      <c r="R177" s="2" t="n">
        <v>379</v>
      </c>
      <c r="S177" s="2" t="n">
        <v>0</v>
      </c>
    </row>
    <row r="178" customFormat="false" ht="14" hidden="false" customHeight="false" outlineLevel="0" collapsed="false">
      <c r="A178" s="1" t="s">
        <v>19</v>
      </c>
      <c r="B178" s="1" t="s">
        <v>20</v>
      </c>
      <c r="C178" s="1" t="s">
        <v>21</v>
      </c>
      <c r="D178" s="1" t="s">
        <v>22</v>
      </c>
      <c r="E178" s="10" t="n">
        <v>522990442067441</v>
      </c>
      <c r="F178" s="1" t="s">
        <v>346</v>
      </c>
      <c r="G178" s="1" t="s">
        <v>24</v>
      </c>
      <c r="H178" s="1" t="n">
        <v>1.44</v>
      </c>
      <c r="I178" s="1" t="s">
        <v>207</v>
      </c>
      <c r="J178" s="1" t="s">
        <v>208</v>
      </c>
      <c r="K178" s="1" t="s">
        <v>27</v>
      </c>
      <c r="L178" s="1" t="s">
        <v>56</v>
      </c>
      <c r="M178" s="1" t="s">
        <v>209</v>
      </c>
      <c r="N178" s="1" t="s">
        <v>99</v>
      </c>
      <c r="O178" s="2" t="n">
        <v>499</v>
      </c>
      <c r="P178" s="2" t="n">
        <f aca="false">O178/H178</f>
        <v>346.527777777778</v>
      </c>
      <c r="Q178" s="3" t="n">
        <f aca="false">(R178/P178-1)*-1</f>
        <v>0.137154308617234</v>
      </c>
      <c r="R178" s="2" t="n">
        <v>299</v>
      </c>
      <c r="S178" s="2" t="n">
        <v>289</v>
      </c>
    </row>
    <row r="179" customFormat="false" ht="14" hidden="false" customHeight="false" outlineLevel="0" collapsed="false">
      <c r="A179" s="1" t="s">
        <v>92</v>
      </c>
      <c r="B179" s="1" t="s">
        <v>20</v>
      </c>
      <c r="C179" s="1" t="s">
        <v>21</v>
      </c>
      <c r="D179" s="1" t="s">
        <v>93</v>
      </c>
      <c r="E179" s="1" t="s">
        <v>347</v>
      </c>
      <c r="F179" s="1" t="s">
        <v>348</v>
      </c>
      <c r="G179" s="1" t="s">
        <v>24</v>
      </c>
      <c r="H179" s="1" t="n">
        <v>1.42</v>
      </c>
      <c r="I179" s="1" t="s">
        <v>278</v>
      </c>
      <c r="J179" s="1" t="s">
        <v>26</v>
      </c>
      <c r="K179" s="1" t="s">
        <v>42</v>
      </c>
      <c r="L179" s="1" t="s">
        <v>349</v>
      </c>
      <c r="M179" s="1" t="s">
        <v>29</v>
      </c>
      <c r="N179" s="1" t="s">
        <v>99</v>
      </c>
      <c r="O179" s="2" t="n">
        <v>559</v>
      </c>
      <c r="P179" s="2" t="n">
        <f aca="false">O179/H179</f>
        <v>393.661971830986</v>
      </c>
      <c r="Q179" s="3" t="n">
        <f aca="false">(R179/P179-1)*-1</f>
        <v>0.24046511627907</v>
      </c>
      <c r="R179" s="2" t="n">
        <v>299</v>
      </c>
      <c r="S179" s="2" t="n">
        <v>259</v>
      </c>
    </row>
    <row r="180" customFormat="false" ht="14" hidden="false" customHeight="false" outlineLevel="0" collapsed="false">
      <c r="A180" s="1" t="s">
        <v>92</v>
      </c>
      <c r="B180" s="1" t="s">
        <v>20</v>
      </c>
      <c r="C180" s="1" t="s">
        <v>21</v>
      </c>
      <c r="D180" s="1" t="s">
        <v>93</v>
      </c>
      <c r="E180" s="1" t="s">
        <v>350</v>
      </c>
      <c r="F180" s="1" t="s">
        <v>351</v>
      </c>
      <c r="G180" s="1" t="s">
        <v>24</v>
      </c>
      <c r="H180" s="1" t="n">
        <v>1.42</v>
      </c>
      <c r="I180" s="1" t="s">
        <v>278</v>
      </c>
      <c r="J180" s="1" t="s">
        <v>26</v>
      </c>
      <c r="K180" s="1" t="s">
        <v>42</v>
      </c>
      <c r="L180" s="1" t="s">
        <v>32</v>
      </c>
      <c r="M180" s="1" t="s">
        <v>29</v>
      </c>
      <c r="N180" s="1" t="s">
        <v>99</v>
      </c>
      <c r="O180" s="2" t="n">
        <v>559</v>
      </c>
      <c r="P180" s="2" t="n">
        <f aca="false">O180/H180</f>
        <v>393.661971830986</v>
      </c>
      <c r="Q180" s="3" t="n">
        <f aca="false">(R180/P180-1)*-1</f>
        <v>0.265867620751342</v>
      </c>
      <c r="R180" s="2" t="n">
        <v>289</v>
      </c>
      <c r="S180" s="2" t="n">
        <v>249</v>
      </c>
    </row>
    <row r="181" customFormat="false" ht="14" hidden="false" customHeight="false" outlineLevel="0" collapsed="false">
      <c r="A181" s="1" t="s">
        <v>92</v>
      </c>
      <c r="B181" s="1" t="s">
        <v>20</v>
      </c>
      <c r="C181" s="1" t="s">
        <v>21</v>
      </c>
      <c r="D181" s="1" t="s">
        <v>93</v>
      </c>
      <c r="E181" s="1" t="s">
        <v>352</v>
      </c>
      <c r="F181" s="1" t="s">
        <v>353</v>
      </c>
      <c r="G181" s="1" t="s">
        <v>24</v>
      </c>
      <c r="H181" s="1" t="n">
        <v>1.42</v>
      </c>
      <c r="I181" s="1" t="s">
        <v>278</v>
      </c>
      <c r="J181" s="1" t="s">
        <v>26</v>
      </c>
      <c r="K181" s="1" t="s">
        <v>42</v>
      </c>
      <c r="L181" s="1" t="s">
        <v>349</v>
      </c>
      <c r="M181" s="1" t="s">
        <v>29</v>
      </c>
      <c r="N181" s="1" t="s">
        <v>99</v>
      </c>
      <c r="O181" s="2" t="n">
        <v>579</v>
      </c>
      <c r="P181" s="2" t="n">
        <f aca="false">O181/H181</f>
        <v>407.74647887324</v>
      </c>
      <c r="Q181" s="3" t="n">
        <f aca="false">(R181/P181-1)*-1</f>
        <v>0.291226252158895</v>
      </c>
      <c r="R181" s="2" t="n">
        <v>289</v>
      </c>
      <c r="S181" s="2" t="n">
        <v>249</v>
      </c>
    </row>
    <row r="182" customFormat="false" ht="14" hidden="false" customHeight="false" outlineLevel="0" collapsed="false">
      <c r="A182" s="1" t="s">
        <v>92</v>
      </c>
      <c r="B182" s="1" t="s">
        <v>20</v>
      </c>
      <c r="C182" s="1" t="s">
        <v>21</v>
      </c>
      <c r="D182" s="1" t="s">
        <v>93</v>
      </c>
      <c r="E182" s="1" t="s">
        <v>354</v>
      </c>
      <c r="F182" s="1" t="s">
        <v>355</v>
      </c>
      <c r="G182" s="1" t="s">
        <v>24</v>
      </c>
      <c r="H182" s="1" t="n">
        <v>1.42</v>
      </c>
      <c r="I182" s="1" t="s">
        <v>278</v>
      </c>
      <c r="J182" s="1" t="s">
        <v>26</v>
      </c>
      <c r="K182" s="1" t="s">
        <v>42</v>
      </c>
      <c r="L182" s="1" t="s">
        <v>349</v>
      </c>
      <c r="M182" s="1" t="s">
        <v>29</v>
      </c>
      <c r="N182" s="1" t="s">
        <v>99</v>
      </c>
      <c r="O182" s="2" t="n">
        <v>559</v>
      </c>
      <c r="P182" s="2" t="n">
        <f aca="false">O182/H182</f>
        <v>393.661971830986</v>
      </c>
      <c r="Q182" s="3" t="n">
        <f aca="false">(R182/P182-1)*-1</f>
        <v>0.24046511627907</v>
      </c>
      <c r="R182" s="2" t="n">
        <v>299</v>
      </c>
      <c r="S182" s="2" t="n">
        <v>269</v>
      </c>
    </row>
    <row r="183" customFormat="false" ht="14" hidden="false" customHeight="false" outlineLevel="0" collapsed="false">
      <c r="A183" s="1" t="s">
        <v>92</v>
      </c>
      <c r="B183" s="1" t="s">
        <v>20</v>
      </c>
      <c r="C183" s="1" t="s">
        <v>21</v>
      </c>
      <c r="D183" s="1" t="s">
        <v>93</v>
      </c>
      <c r="E183" s="1" t="s">
        <v>356</v>
      </c>
      <c r="F183" s="1" t="s">
        <v>357</v>
      </c>
      <c r="G183" s="1" t="s">
        <v>24</v>
      </c>
      <c r="H183" s="1" t="n">
        <v>1.42</v>
      </c>
      <c r="I183" s="1" t="s">
        <v>278</v>
      </c>
      <c r="J183" s="1" t="s">
        <v>26</v>
      </c>
      <c r="K183" s="1" t="s">
        <v>27</v>
      </c>
      <c r="L183" s="1" t="s">
        <v>97</v>
      </c>
      <c r="M183" s="1" t="s">
        <v>98</v>
      </c>
      <c r="N183" s="1" t="s">
        <v>99</v>
      </c>
      <c r="O183" s="2" t="n">
        <v>559</v>
      </c>
      <c r="P183" s="2" t="n">
        <f aca="false">O183/H183</f>
        <v>393.661971830986</v>
      </c>
      <c r="Q183" s="3" t="n">
        <f aca="false">(R183/P183-1)*-1</f>
        <v>0.24046511627907</v>
      </c>
      <c r="R183" s="2" t="n">
        <v>299</v>
      </c>
      <c r="S183" s="2" t="n">
        <v>269</v>
      </c>
    </row>
    <row r="184" customFormat="false" ht="14" hidden="false" customHeight="false" outlineLevel="0" collapsed="false">
      <c r="A184" s="1" t="s">
        <v>92</v>
      </c>
      <c r="B184" s="1" t="s">
        <v>20</v>
      </c>
      <c r="C184" s="1" t="s">
        <v>21</v>
      </c>
      <c r="D184" s="1" t="s">
        <v>93</v>
      </c>
      <c r="E184" s="1" t="s">
        <v>358</v>
      </c>
      <c r="F184" s="1" t="s">
        <v>359</v>
      </c>
      <c r="G184" s="1" t="s">
        <v>24</v>
      </c>
      <c r="H184" s="1" t="n">
        <v>1.42</v>
      </c>
      <c r="I184" s="1" t="s">
        <v>278</v>
      </c>
      <c r="J184" s="1" t="s">
        <v>26</v>
      </c>
      <c r="K184" s="1" t="s">
        <v>42</v>
      </c>
      <c r="L184" s="1" t="s">
        <v>32</v>
      </c>
      <c r="M184" s="1" t="s">
        <v>29</v>
      </c>
      <c r="N184" s="1" t="s">
        <v>99</v>
      </c>
      <c r="O184" s="2" t="n">
        <v>579</v>
      </c>
      <c r="P184" s="2" t="n">
        <f aca="false">O184/H184</f>
        <v>407.74647887324</v>
      </c>
      <c r="Q184" s="3" t="n">
        <f aca="false">(R184/P184-1)*-1</f>
        <v>0.266701208981002</v>
      </c>
      <c r="R184" s="2" t="n">
        <v>299</v>
      </c>
      <c r="S184" s="2" t="n">
        <v>259</v>
      </c>
    </row>
    <row r="185" customFormat="false" ht="14" hidden="false" customHeight="false" outlineLevel="0" collapsed="false">
      <c r="A185" s="1" t="s">
        <v>92</v>
      </c>
      <c r="B185" s="1" t="s">
        <v>20</v>
      </c>
      <c r="C185" s="1" t="s">
        <v>21</v>
      </c>
      <c r="D185" s="1" t="s">
        <v>93</v>
      </c>
      <c r="E185" s="1" t="s">
        <v>360</v>
      </c>
      <c r="F185" s="1" t="s">
        <v>361</v>
      </c>
      <c r="G185" s="1" t="s">
        <v>24</v>
      </c>
      <c r="H185" s="1" t="n">
        <v>1.42</v>
      </c>
      <c r="I185" s="1" t="s">
        <v>278</v>
      </c>
      <c r="J185" s="1" t="s">
        <v>26</v>
      </c>
      <c r="K185" s="1" t="s">
        <v>42</v>
      </c>
      <c r="L185" s="1" t="s">
        <v>28</v>
      </c>
      <c r="M185" s="1" t="s">
        <v>29</v>
      </c>
      <c r="N185" s="1" t="s">
        <v>99</v>
      </c>
      <c r="O185" s="2" t="n">
        <v>559</v>
      </c>
      <c r="P185" s="2" t="n">
        <f aca="false">O185/H185</f>
        <v>393.661971830986</v>
      </c>
      <c r="Q185" s="3" t="n">
        <f aca="false">(R185/P185-1)*-1</f>
        <v>0.24046511627907</v>
      </c>
      <c r="R185" s="2" t="n">
        <v>299</v>
      </c>
      <c r="S185" s="2" t="n">
        <v>285</v>
      </c>
    </row>
    <row r="186" customFormat="false" ht="14" hidden="false" customHeight="false" outlineLevel="0" collapsed="false">
      <c r="A186" s="1" t="s">
        <v>92</v>
      </c>
      <c r="B186" s="1" t="s">
        <v>20</v>
      </c>
      <c r="C186" s="1" t="s">
        <v>21</v>
      </c>
      <c r="D186" s="1" t="s">
        <v>93</v>
      </c>
      <c r="E186" s="1" t="s">
        <v>362</v>
      </c>
      <c r="F186" s="1" t="s">
        <v>363</v>
      </c>
      <c r="G186" s="1" t="s">
        <v>24</v>
      </c>
      <c r="H186" s="1" t="n">
        <v>1.42</v>
      </c>
      <c r="I186" s="1" t="s">
        <v>278</v>
      </c>
      <c r="J186" s="1" t="s">
        <v>26</v>
      </c>
      <c r="K186" s="1" t="s">
        <v>27</v>
      </c>
      <c r="L186" s="1" t="s">
        <v>32</v>
      </c>
      <c r="M186" s="1" t="s">
        <v>29</v>
      </c>
      <c r="N186" s="1" t="s">
        <v>99</v>
      </c>
      <c r="O186" s="2" t="n">
        <v>559</v>
      </c>
      <c r="P186" s="2" t="n">
        <f aca="false">O186/H186</f>
        <v>393.661971830986</v>
      </c>
      <c r="Q186" s="3" t="n">
        <f aca="false">(R186/P186-1)*-1</f>
        <v>0.24046511627907</v>
      </c>
      <c r="R186" s="2" t="n">
        <v>299</v>
      </c>
      <c r="S186" s="2" t="n">
        <v>279</v>
      </c>
    </row>
    <row r="187" customFormat="false" ht="14" hidden="false" customHeight="false" outlineLevel="0" collapsed="false">
      <c r="A187" s="1" t="s">
        <v>19</v>
      </c>
      <c r="B187" s="1" t="s">
        <v>20</v>
      </c>
      <c r="C187" s="1" t="s">
        <v>21</v>
      </c>
      <c r="D187" s="1" t="s">
        <v>22</v>
      </c>
      <c r="E187" s="10" t="n">
        <v>522991442067441</v>
      </c>
      <c r="F187" s="1" t="s">
        <v>364</v>
      </c>
      <c r="G187" s="1" t="s">
        <v>24</v>
      </c>
      <c r="H187" s="1" t="n">
        <v>1.44</v>
      </c>
      <c r="I187" s="1" t="s">
        <v>207</v>
      </c>
      <c r="J187" s="1" t="s">
        <v>208</v>
      </c>
      <c r="K187" s="1" t="s">
        <v>27</v>
      </c>
      <c r="L187" s="1" t="s">
        <v>32</v>
      </c>
      <c r="M187" s="1" t="s">
        <v>209</v>
      </c>
      <c r="N187" s="1" t="s">
        <v>99</v>
      </c>
      <c r="O187" s="2" t="n">
        <v>499</v>
      </c>
      <c r="P187" s="2" t="n">
        <f aca="false">O187/H187</f>
        <v>346.527777777778</v>
      </c>
      <c r="Q187" s="3" t="n">
        <f aca="false">(R187/P187-1)*-1</f>
        <v>0.137154308617234</v>
      </c>
      <c r="R187" s="2" t="n">
        <v>299</v>
      </c>
      <c r="S187" s="2" t="n">
        <v>0</v>
      </c>
    </row>
    <row r="188" customFormat="false" ht="14" hidden="false" customHeight="false" outlineLevel="0" collapsed="false">
      <c r="A188" s="1" t="s">
        <v>19</v>
      </c>
      <c r="B188" s="1" t="s">
        <v>20</v>
      </c>
      <c r="C188" s="1" t="s">
        <v>21</v>
      </c>
      <c r="D188" s="1" t="s">
        <v>22</v>
      </c>
      <c r="E188" s="10" t="n">
        <v>522834254567711</v>
      </c>
      <c r="F188" s="1" t="s">
        <v>365</v>
      </c>
      <c r="G188" s="1" t="s">
        <v>24</v>
      </c>
      <c r="H188" s="1" t="n">
        <v>1.5</v>
      </c>
      <c r="I188" s="1" t="s">
        <v>309</v>
      </c>
      <c r="J188" s="1" t="s">
        <v>26</v>
      </c>
      <c r="K188" s="1" t="s">
        <v>42</v>
      </c>
      <c r="L188" s="1" t="s">
        <v>32</v>
      </c>
      <c r="M188" s="1" t="s">
        <v>29</v>
      </c>
      <c r="N188" s="1" t="s">
        <v>99</v>
      </c>
      <c r="O188" s="2" t="n">
        <v>559</v>
      </c>
      <c r="P188" s="2" t="n">
        <f aca="false">O188/H188</f>
        <v>372.666666666667</v>
      </c>
      <c r="Q188" s="3" t="n">
        <f aca="false">(R188/P188-1)*-1</f>
        <v>0.170840787119857</v>
      </c>
      <c r="R188" s="2" t="n">
        <v>309</v>
      </c>
      <c r="S188" s="2" t="n">
        <v>0</v>
      </c>
    </row>
    <row r="189" customFormat="false" ht="14" hidden="false" customHeight="false" outlineLevel="0" collapsed="false">
      <c r="A189" s="1" t="s">
        <v>92</v>
      </c>
      <c r="B189" s="1" t="s">
        <v>20</v>
      </c>
      <c r="C189" s="1" t="s">
        <v>21</v>
      </c>
      <c r="D189" s="1" t="s">
        <v>93</v>
      </c>
      <c r="E189" s="1" t="s">
        <v>366</v>
      </c>
      <c r="F189" s="1" t="s">
        <v>367</v>
      </c>
      <c r="G189" s="1" t="s">
        <v>24</v>
      </c>
      <c r="H189" s="1" t="n">
        <v>1.42</v>
      </c>
      <c r="I189" s="1" t="s">
        <v>278</v>
      </c>
      <c r="J189" s="1" t="s">
        <v>26</v>
      </c>
      <c r="K189" s="1" t="s">
        <v>27</v>
      </c>
      <c r="L189" s="1" t="s">
        <v>368</v>
      </c>
      <c r="M189" s="1" t="s">
        <v>29</v>
      </c>
      <c r="N189" s="1" t="s">
        <v>99</v>
      </c>
      <c r="O189" s="2" t="n">
        <v>559</v>
      </c>
      <c r="P189" s="2" t="n">
        <f aca="false">O189/H189</f>
        <v>393.661971830986</v>
      </c>
      <c r="Q189" s="3" t="n">
        <f aca="false">(R189/P189-1)*-1</f>
        <v>0.215062611806798</v>
      </c>
      <c r="R189" s="2" t="n">
        <v>309</v>
      </c>
      <c r="S189" s="2" t="n">
        <v>289</v>
      </c>
    </row>
    <row r="190" customFormat="false" ht="14" hidden="false" customHeight="false" outlineLevel="0" collapsed="false">
      <c r="A190" s="1" t="s">
        <v>369</v>
      </c>
      <c r="B190" s="1" t="s">
        <v>20</v>
      </c>
      <c r="C190" s="1" t="s">
        <v>21</v>
      </c>
      <c r="D190" s="1" t="s">
        <v>370</v>
      </c>
      <c r="E190" s="1" t="s">
        <v>371</v>
      </c>
      <c r="F190" s="1" t="s">
        <v>372</v>
      </c>
      <c r="G190" s="1" t="s">
        <v>24</v>
      </c>
      <c r="H190" s="1" t="n">
        <v>1.44</v>
      </c>
      <c r="I190" s="1" t="s">
        <v>278</v>
      </c>
      <c r="J190" s="1" t="s">
        <v>208</v>
      </c>
      <c r="K190" s="1" t="s">
        <v>61</v>
      </c>
      <c r="L190" s="1" t="s">
        <v>28</v>
      </c>
      <c r="M190" s="1" t="s">
        <v>209</v>
      </c>
      <c r="N190" s="1" t="s">
        <v>99</v>
      </c>
      <c r="O190" s="2" t="n">
        <v>984.43</v>
      </c>
      <c r="P190" s="2" t="n">
        <f aca="false">O190/H190</f>
        <v>683.631944444445</v>
      </c>
      <c r="Q190" s="3" t="n">
        <f aca="false">(R190/P190-1)*-1</f>
        <v>0.445608118403543</v>
      </c>
      <c r="R190" s="2" t="n">
        <v>379</v>
      </c>
      <c r="S190" s="2" t="n">
        <v>369</v>
      </c>
    </row>
    <row r="191" customFormat="false" ht="14" hidden="false" customHeight="false" outlineLevel="0" collapsed="false">
      <c r="A191" s="1" t="s">
        <v>45</v>
      </c>
      <c r="B191" s="1" t="s">
        <v>20</v>
      </c>
      <c r="C191" s="1" t="s">
        <v>21</v>
      </c>
      <c r="D191" s="1" t="s">
        <v>46</v>
      </c>
      <c r="E191" s="1" t="s">
        <v>373</v>
      </c>
      <c r="F191" s="1" t="s">
        <v>374</v>
      </c>
      <c r="G191" s="1" t="s">
        <v>24</v>
      </c>
      <c r="H191" s="1" t="n">
        <v>1.8</v>
      </c>
      <c r="I191" s="1" t="s">
        <v>256</v>
      </c>
      <c r="J191" s="1" t="s">
        <v>26</v>
      </c>
      <c r="K191" s="1" t="s">
        <v>42</v>
      </c>
      <c r="L191" s="1" t="s">
        <v>63</v>
      </c>
      <c r="M191" s="1" t="s">
        <v>29</v>
      </c>
      <c r="N191" s="1" t="s">
        <v>99</v>
      </c>
      <c r="O191" s="2" t="n">
        <v>629</v>
      </c>
      <c r="P191" s="2" t="n">
        <f aca="false">O191/H191</f>
        <v>349.444444444444</v>
      </c>
      <c r="Q191" s="3" t="n">
        <f aca="false">(R191/P191-1)*-1</f>
        <v>0.115739268680445</v>
      </c>
      <c r="R191" s="2" t="n">
        <v>309</v>
      </c>
      <c r="S191" s="2" t="n">
        <f aca="false">R191-10</f>
        <v>299</v>
      </c>
    </row>
    <row r="192" customFormat="false" ht="14" hidden="false" customHeight="false" outlineLevel="0" collapsed="false">
      <c r="A192" s="1" t="s">
        <v>369</v>
      </c>
      <c r="B192" s="1" t="s">
        <v>20</v>
      </c>
      <c r="C192" s="1" t="s">
        <v>21</v>
      </c>
      <c r="D192" s="1" t="s">
        <v>370</v>
      </c>
      <c r="E192" s="1" t="s">
        <v>375</v>
      </c>
      <c r="F192" s="1" t="s">
        <v>376</v>
      </c>
      <c r="G192" s="1" t="s">
        <v>24</v>
      </c>
      <c r="H192" s="1" t="n">
        <v>1.44</v>
      </c>
      <c r="I192" s="1" t="s">
        <v>278</v>
      </c>
      <c r="J192" s="1" t="s">
        <v>208</v>
      </c>
      <c r="K192" s="1" t="s">
        <v>27</v>
      </c>
      <c r="L192" s="1" t="s">
        <v>97</v>
      </c>
      <c r="M192" s="1" t="s">
        <v>209</v>
      </c>
      <c r="N192" s="1" t="s">
        <v>99</v>
      </c>
      <c r="O192" s="2" t="n">
        <v>984.43</v>
      </c>
      <c r="P192" s="2" t="n">
        <f aca="false">O192/H192</f>
        <v>683.631944444445</v>
      </c>
      <c r="Q192" s="3" t="n">
        <f aca="false">(R192/P192-1)*-1</f>
        <v>0.533374643194539</v>
      </c>
      <c r="R192" s="2" t="n">
        <v>319</v>
      </c>
    </row>
    <row r="193" customFormat="false" ht="14" hidden="false" customHeight="false" outlineLevel="0" collapsed="false">
      <c r="A193" s="1" t="s">
        <v>369</v>
      </c>
      <c r="B193" s="1" t="s">
        <v>20</v>
      </c>
      <c r="C193" s="1" t="s">
        <v>21</v>
      </c>
      <c r="D193" s="1" t="s">
        <v>370</v>
      </c>
      <c r="E193" s="1" t="s">
        <v>377</v>
      </c>
      <c r="F193" s="1" t="s">
        <v>378</v>
      </c>
      <c r="G193" s="1" t="s">
        <v>24</v>
      </c>
      <c r="H193" s="1" t="n">
        <v>1.44</v>
      </c>
      <c r="I193" s="1" t="s">
        <v>278</v>
      </c>
      <c r="J193" s="1" t="s">
        <v>208</v>
      </c>
      <c r="K193" s="1" t="s">
        <v>27</v>
      </c>
      <c r="L193" s="1" t="s">
        <v>63</v>
      </c>
      <c r="M193" s="1" t="s">
        <v>29</v>
      </c>
      <c r="N193" s="1" t="s">
        <v>99</v>
      </c>
      <c r="O193" s="2" t="n">
        <v>984.43</v>
      </c>
      <c r="P193" s="2" t="n">
        <f aca="false">O193/H193</f>
        <v>683.631944444445</v>
      </c>
      <c r="Q193" s="3" t="n">
        <f aca="false">(R193/P193-1)*-1</f>
        <v>0.474863626667209</v>
      </c>
      <c r="R193" s="2" t="n">
        <v>359</v>
      </c>
      <c r="S193" s="2" t="n">
        <v>349</v>
      </c>
    </row>
    <row r="194" customFormat="false" ht="14" hidden="false" customHeight="false" outlineLevel="0" collapsed="false">
      <c r="A194" s="1" t="s">
        <v>369</v>
      </c>
      <c r="B194" s="1" t="s">
        <v>20</v>
      </c>
      <c r="C194" s="1" t="s">
        <v>21</v>
      </c>
      <c r="D194" s="1" t="s">
        <v>370</v>
      </c>
      <c r="E194" s="1" t="s">
        <v>379</v>
      </c>
      <c r="F194" s="1" t="s">
        <v>380</v>
      </c>
      <c r="G194" s="1" t="s">
        <v>24</v>
      </c>
      <c r="H194" s="1" t="n">
        <v>1.44</v>
      </c>
      <c r="I194" s="1" t="s">
        <v>278</v>
      </c>
      <c r="J194" s="1" t="s">
        <v>208</v>
      </c>
      <c r="K194" s="1" t="s">
        <v>27</v>
      </c>
      <c r="L194" s="1" t="s">
        <v>97</v>
      </c>
      <c r="M194" s="1" t="s">
        <v>29</v>
      </c>
      <c r="N194" s="1" t="s">
        <v>99</v>
      </c>
      <c r="O194" s="2" t="n">
        <v>984.43</v>
      </c>
      <c r="P194" s="2" t="n">
        <f aca="false">O194/H194</f>
        <v>683.631944444445</v>
      </c>
      <c r="Q194" s="3" t="n">
        <f aca="false">(R194/P194-1)*-1</f>
        <v>0.562630151458204</v>
      </c>
      <c r="R194" s="2" t="n">
        <v>299</v>
      </c>
      <c r="S194" s="2" t="n">
        <v>289</v>
      </c>
    </row>
    <row r="195" customFormat="false" ht="14" hidden="false" customHeight="false" outlineLevel="0" collapsed="false">
      <c r="A195" s="1" t="s">
        <v>369</v>
      </c>
      <c r="B195" s="1" t="s">
        <v>20</v>
      </c>
      <c r="C195" s="1" t="s">
        <v>21</v>
      </c>
      <c r="D195" s="1" t="s">
        <v>370</v>
      </c>
      <c r="E195" s="1" t="s">
        <v>381</v>
      </c>
      <c r="F195" s="1" t="s">
        <v>382</v>
      </c>
      <c r="G195" s="1" t="s">
        <v>24</v>
      </c>
      <c r="H195" s="1" t="n">
        <v>1.44</v>
      </c>
      <c r="I195" s="1" t="s">
        <v>104</v>
      </c>
      <c r="J195" s="1" t="s">
        <v>208</v>
      </c>
      <c r="K195" s="1" t="s">
        <v>27</v>
      </c>
      <c r="L195" s="1" t="s">
        <v>32</v>
      </c>
      <c r="M195" s="1" t="s">
        <v>209</v>
      </c>
      <c r="N195" s="1" t="s">
        <v>99</v>
      </c>
      <c r="O195" s="2" t="n">
        <v>879.89</v>
      </c>
      <c r="P195" s="2" t="n">
        <f aca="false">O195/H195</f>
        <v>611.034722222222</v>
      </c>
      <c r="Q195" s="3" t="n">
        <f aca="false">(R195/P195-1)*-1</f>
        <v>0.494300423916626</v>
      </c>
      <c r="R195" s="2" t="n">
        <v>309</v>
      </c>
      <c r="S195" s="2" t="n">
        <v>299</v>
      </c>
    </row>
    <row r="196" customFormat="false" ht="14" hidden="false" customHeight="false" outlineLevel="0" collapsed="false">
      <c r="A196" s="1" t="s">
        <v>45</v>
      </c>
      <c r="B196" s="1" t="s">
        <v>20</v>
      </c>
      <c r="C196" s="1" t="s">
        <v>21</v>
      </c>
      <c r="D196" s="1" t="s">
        <v>46</v>
      </c>
      <c r="E196" s="1" t="s">
        <v>383</v>
      </c>
      <c r="F196" s="1" t="s">
        <v>384</v>
      </c>
      <c r="G196" s="1" t="s">
        <v>24</v>
      </c>
      <c r="H196" s="1" t="n">
        <v>1.2</v>
      </c>
      <c r="I196" s="1" t="s">
        <v>385</v>
      </c>
      <c r="J196" s="1" t="s">
        <v>26</v>
      </c>
      <c r="K196" s="1" t="s">
        <v>42</v>
      </c>
      <c r="L196" s="1" t="s">
        <v>56</v>
      </c>
      <c r="M196" s="1" t="s">
        <v>29</v>
      </c>
      <c r="N196" s="1" t="s">
        <v>30</v>
      </c>
      <c r="O196" s="2" t="n">
        <v>469</v>
      </c>
      <c r="P196" s="2" t="n">
        <f aca="false">O196/H196</f>
        <v>390.833333333333</v>
      </c>
      <c r="Q196" s="3" t="n">
        <f aca="false">(R196/P196-1)*-1</f>
        <v>0.158208955223881</v>
      </c>
      <c r="R196" s="2" t="n">
        <v>329</v>
      </c>
      <c r="S196" s="2" t="n">
        <f aca="false">R196-10</f>
        <v>319</v>
      </c>
    </row>
    <row r="197" customFormat="false" ht="14" hidden="false" customHeight="false" outlineLevel="0" collapsed="false">
      <c r="A197" s="1" t="s">
        <v>369</v>
      </c>
      <c r="B197" s="1" t="s">
        <v>20</v>
      </c>
      <c r="C197" s="1" t="s">
        <v>21</v>
      </c>
      <c r="D197" s="1" t="s">
        <v>370</v>
      </c>
      <c r="E197" s="1" t="s">
        <v>386</v>
      </c>
      <c r="F197" s="1" t="s">
        <v>387</v>
      </c>
      <c r="G197" s="1" t="s">
        <v>24</v>
      </c>
      <c r="H197" s="1" t="n">
        <v>1.44</v>
      </c>
      <c r="I197" s="1" t="s">
        <v>104</v>
      </c>
      <c r="J197" s="1" t="s">
        <v>208</v>
      </c>
      <c r="K197" s="1" t="s">
        <v>27</v>
      </c>
      <c r="L197" s="1" t="s">
        <v>97</v>
      </c>
      <c r="M197" s="1" t="s">
        <v>209</v>
      </c>
      <c r="N197" s="1" t="s">
        <v>99</v>
      </c>
      <c r="O197" s="2" t="n">
        <v>879.89</v>
      </c>
      <c r="P197" s="2" t="n">
        <f aca="false">O197/H197</f>
        <v>611.034722222222</v>
      </c>
      <c r="Q197" s="3" t="n">
        <f aca="false">(R197/P197-1)*-1</f>
        <v>0.445203377694939</v>
      </c>
      <c r="R197" s="2" t="n">
        <v>339</v>
      </c>
      <c r="S197" s="2" t="n">
        <v>329</v>
      </c>
    </row>
    <row r="198" customFormat="false" ht="14" hidden="false" customHeight="false" outlineLevel="0" collapsed="false">
      <c r="A198" s="1" t="s">
        <v>19</v>
      </c>
      <c r="B198" s="1" t="s">
        <v>20</v>
      </c>
      <c r="C198" s="1" t="s">
        <v>21</v>
      </c>
      <c r="D198" s="1" t="s">
        <v>22</v>
      </c>
      <c r="E198" s="10" t="n">
        <v>520904419305271</v>
      </c>
      <c r="F198" s="1" t="s">
        <v>388</v>
      </c>
      <c r="G198" s="1" t="s">
        <v>24</v>
      </c>
      <c r="H198" s="1" t="n">
        <v>1.5</v>
      </c>
      <c r="I198" s="1" t="s">
        <v>389</v>
      </c>
      <c r="J198" s="1" t="s">
        <v>26</v>
      </c>
      <c r="K198" s="1" t="s">
        <v>27</v>
      </c>
      <c r="L198" s="1" t="s">
        <v>63</v>
      </c>
      <c r="M198" s="1" t="s">
        <v>29</v>
      </c>
      <c r="N198" s="1" t="s">
        <v>99</v>
      </c>
      <c r="O198" s="2" t="n">
        <v>629</v>
      </c>
      <c r="P198" s="2" t="n">
        <f aca="false">O198/H198</f>
        <v>419.333333333333</v>
      </c>
      <c r="Q198" s="3" t="n">
        <f aca="false">(R198/P198-1)*-1</f>
        <v>0.191573926868045</v>
      </c>
      <c r="R198" s="2" t="n">
        <v>339</v>
      </c>
      <c r="S198" s="2" t="n">
        <v>0</v>
      </c>
    </row>
    <row r="199" customFormat="false" ht="14" hidden="false" customHeight="false" outlineLevel="0" collapsed="false">
      <c r="A199" s="1" t="s">
        <v>45</v>
      </c>
      <c r="B199" s="1" t="s">
        <v>20</v>
      </c>
      <c r="C199" s="1" t="s">
        <v>21</v>
      </c>
      <c r="D199" s="1" t="s">
        <v>46</v>
      </c>
      <c r="E199" s="1" t="s">
        <v>390</v>
      </c>
      <c r="F199" s="1" t="s">
        <v>391</v>
      </c>
      <c r="G199" s="1" t="s">
        <v>24</v>
      </c>
      <c r="H199" s="1" t="n">
        <v>1.8</v>
      </c>
      <c r="I199" s="1" t="s">
        <v>256</v>
      </c>
      <c r="J199" s="1" t="s">
        <v>26</v>
      </c>
      <c r="K199" s="1" t="s">
        <v>226</v>
      </c>
      <c r="L199" s="1" t="s">
        <v>234</v>
      </c>
      <c r="M199" s="1" t="s">
        <v>29</v>
      </c>
      <c r="N199" s="1" t="s">
        <v>99</v>
      </c>
      <c r="O199" s="2" t="n">
        <v>699</v>
      </c>
      <c r="P199" s="2" t="n">
        <f aca="false">O199/H199</f>
        <v>388.333333333333</v>
      </c>
      <c r="Q199" s="3" t="n">
        <f aca="false">(R199/P199-1)*-1</f>
        <v>0.127038626609442</v>
      </c>
      <c r="R199" s="2" t="n">
        <v>339</v>
      </c>
      <c r="S199" s="2" t="n">
        <f aca="false">R199-10</f>
        <v>329</v>
      </c>
    </row>
    <row r="200" customFormat="false" ht="14" hidden="false" customHeight="false" outlineLevel="0" collapsed="false">
      <c r="A200" s="1" t="s">
        <v>45</v>
      </c>
      <c r="B200" s="1" t="s">
        <v>20</v>
      </c>
      <c r="C200" s="1" t="s">
        <v>21</v>
      </c>
      <c r="D200" s="1" t="s">
        <v>46</v>
      </c>
      <c r="E200" s="1" t="s">
        <v>392</v>
      </c>
      <c r="F200" s="1" t="s">
        <v>393</v>
      </c>
      <c r="G200" s="1" t="s">
        <v>24</v>
      </c>
      <c r="H200" s="1" t="n">
        <v>1.8</v>
      </c>
      <c r="I200" s="1" t="s">
        <v>256</v>
      </c>
      <c r="J200" s="1" t="s">
        <v>26</v>
      </c>
      <c r="K200" s="1" t="s">
        <v>226</v>
      </c>
      <c r="L200" s="1" t="s">
        <v>234</v>
      </c>
      <c r="M200" s="1" t="s">
        <v>29</v>
      </c>
      <c r="N200" s="1" t="s">
        <v>99</v>
      </c>
      <c r="O200" s="2" t="n">
        <v>699</v>
      </c>
      <c r="P200" s="2" t="n">
        <f aca="false">O200/H200</f>
        <v>388.333333333333</v>
      </c>
      <c r="Q200" s="3" t="n">
        <f aca="false">(R200/P200-1)*-1</f>
        <v>0.127038626609442</v>
      </c>
      <c r="R200" s="2" t="n">
        <v>339</v>
      </c>
      <c r="S200" s="2" t="n">
        <f aca="false">R200-10</f>
        <v>329</v>
      </c>
    </row>
    <row r="201" customFormat="false" ht="14" hidden="false" customHeight="false" outlineLevel="0" collapsed="false">
      <c r="A201" s="1" t="s">
        <v>369</v>
      </c>
      <c r="B201" s="1" t="s">
        <v>20</v>
      </c>
      <c r="C201" s="1" t="s">
        <v>21</v>
      </c>
      <c r="D201" s="1" t="s">
        <v>370</v>
      </c>
      <c r="E201" s="1" t="s">
        <v>394</v>
      </c>
      <c r="F201" s="1" t="s">
        <v>395</v>
      </c>
      <c r="G201" s="1" t="s">
        <v>24</v>
      </c>
      <c r="H201" s="1" t="n">
        <v>1.44</v>
      </c>
      <c r="I201" s="1" t="s">
        <v>278</v>
      </c>
      <c r="J201" s="1" t="s">
        <v>208</v>
      </c>
      <c r="K201" s="1" t="s">
        <v>61</v>
      </c>
      <c r="L201" s="1" t="s">
        <v>28</v>
      </c>
      <c r="M201" s="1" t="s">
        <v>209</v>
      </c>
      <c r="N201" s="1" t="s">
        <v>99</v>
      </c>
      <c r="O201" s="2" t="n">
        <v>984.43</v>
      </c>
      <c r="P201" s="2" t="n">
        <f aca="false">O201/H201</f>
        <v>683.631944444445</v>
      </c>
      <c r="Q201" s="3" t="n">
        <f aca="false">(R201/P201-1)*-1</f>
        <v>0.504119134930874</v>
      </c>
      <c r="R201" s="2" t="n">
        <v>339</v>
      </c>
    </row>
    <row r="202" customFormat="false" ht="14" hidden="false" customHeight="false" outlineLevel="0" collapsed="false">
      <c r="A202" s="1" t="s">
        <v>369</v>
      </c>
      <c r="B202" s="1" t="s">
        <v>20</v>
      </c>
      <c r="C202" s="1" t="s">
        <v>21</v>
      </c>
      <c r="D202" s="1" t="s">
        <v>370</v>
      </c>
      <c r="E202" s="1" t="s">
        <v>396</v>
      </c>
      <c r="F202" s="1" t="s">
        <v>397</v>
      </c>
      <c r="G202" s="1" t="s">
        <v>24</v>
      </c>
      <c r="H202" s="1" t="n">
        <v>1.44</v>
      </c>
      <c r="I202" s="1" t="s">
        <v>278</v>
      </c>
      <c r="J202" s="1" t="s">
        <v>208</v>
      </c>
      <c r="K202" s="1" t="s">
        <v>27</v>
      </c>
      <c r="L202" s="1" t="s">
        <v>97</v>
      </c>
      <c r="M202" s="1" t="s">
        <v>209</v>
      </c>
      <c r="N202" s="1" t="s">
        <v>99</v>
      </c>
      <c r="O202" s="2" t="n">
        <v>984.43</v>
      </c>
      <c r="P202" s="2" t="n">
        <f aca="false">O202/H202</f>
        <v>683.631944444445</v>
      </c>
      <c r="Q202" s="3" t="n">
        <f aca="false">(R202/P202-1)*-1</f>
        <v>0.445608118403543</v>
      </c>
      <c r="R202" s="2" t="n">
        <v>379</v>
      </c>
      <c r="S202" s="2" t="n">
        <v>369</v>
      </c>
    </row>
    <row r="203" customFormat="false" ht="14" hidden="false" customHeight="false" outlineLevel="0" collapsed="false">
      <c r="A203" s="1" t="s">
        <v>369</v>
      </c>
      <c r="B203" s="1" t="s">
        <v>20</v>
      </c>
      <c r="C203" s="1" t="s">
        <v>21</v>
      </c>
      <c r="D203" s="1" t="s">
        <v>370</v>
      </c>
      <c r="E203" s="1" t="s">
        <v>398</v>
      </c>
      <c r="F203" s="1" t="s">
        <v>399</v>
      </c>
      <c r="G203" s="1" t="s">
        <v>24</v>
      </c>
      <c r="H203" s="1" t="n">
        <v>1.44</v>
      </c>
      <c r="I203" s="1" t="s">
        <v>278</v>
      </c>
      <c r="J203" s="1" t="s">
        <v>208</v>
      </c>
      <c r="K203" s="1" t="s">
        <v>42</v>
      </c>
      <c r="L203" s="1" t="s">
        <v>32</v>
      </c>
      <c r="M203" s="1" t="s">
        <v>29</v>
      </c>
      <c r="N203" s="1" t="s">
        <v>99</v>
      </c>
      <c r="O203" s="2" t="n">
        <v>984.43</v>
      </c>
      <c r="P203" s="2" t="n">
        <f aca="false">O203/H203</f>
        <v>683.631944444445</v>
      </c>
      <c r="Q203" s="3" t="n">
        <f aca="false">(R203/P203-1)*-1</f>
        <v>0.489491380799041</v>
      </c>
      <c r="R203" s="2" t="n">
        <v>349</v>
      </c>
    </row>
    <row r="204" customFormat="false" ht="14" hidden="false" customHeight="false" outlineLevel="0" collapsed="false">
      <c r="A204" s="1" t="s">
        <v>369</v>
      </c>
      <c r="B204" s="1" t="s">
        <v>20</v>
      </c>
      <c r="C204" s="1" t="s">
        <v>21</v>
      </c>
      <c r="D204" s="1" t="s">
        <v>370</v>
      </c>
      <c r="E204" s="1" t="s">
        <v>400</v>
      </c>
      <c r="F204" s="1" t="s">
        <v>401</v>
      </c>
      <c r="G204" s="1" t="s">
        <v>24</v>
      </c>
      <c r="H204" s="1" t="n">
        <v>1.44</v>
      </c>
      <c r="I204" s="1" t="s">
        <v>278</v>
      </c>
      <c r="J204" s="1" t="s">
        <v>208</v>
      </c>
      <c r="K204" s="1" t="s">
        <v>42</v>
      </c>
      <c r="L204" s="1" t="s">
        <v>32</v>
      </c>
      <c r="M204" s="1" t="s">
        <v>29</v>
      </c>
      <c r="N204" s="1" t="s">
        <v>99</v>
      </c>
      <c r="O204" s="2" t="n">
        <v>984.43</v>
      </c>
      <c r="P204" s="2" t="n">
        <f aca="false">O204/H204</f>
        <v>683.631944444445</v>
      </c>
      <c r="Q204" s="3" t="n">
        <f aca="false">(R204/P204-1)*-1</f>
        <v>0.489491380799041</v>
      </c>
      <c r="R204" s="2" t="n">
        <v>349</v>
      </c>
      <c r="S204" s="2" t="n">
        <v>339</v>
      </c>
    </row>
    <row r="205" customFormat="false" ht="14" hidden="false" customHeight="false" outlineLevel="0" collapsed="false">
      <c r="A205" s="1" t="s">
        <v>369</v>
      </c>
      <c r="B205" s="1" t="s">
        <v>20</v>
      </c>
      <c r="C205" s="1" t="s">
        <v>21</v>
      </c>
      <c r="D205" s="1" t="s">
        <v>370</v>
      </c>
      <c r="E205" s="1" t="s">
        <v>402</v>
      </c>
      <c r="F205" s="1" t="s">
        <v>403</v>
      </c>
      <c r="G205" s="1" t="s">
        <v>24</v>
      </c>
      <c r="H205" s="1" t="n">
        <v>2.13</v>
      </c>
      <c r="I205" s="1" t="s">
        <v>404</v>
      </c>
      <c r="J205" s="1" t="s">
        <v>208</v>
      </c>
      <c r="K205" s="1" t="s">
        <v>27</v>
      </c>
      <c r="L205" s="1" t="s">
        <v>56</v>
      </c>
      <c r="M205" s="1" t="s">
        <v>209</v>
      </c>
      <c r="N205" s="1" t="s">
        <v>99</v>
      </c>
      <c r="O205" s="2" t="n">
        <v>859</v>
      </c>
      <c r="P205" s="2" t="n">
        <f aca="false">O205/H205</f>
        <v>403.286384976526</v>
      </c>
      <c r="Q205" s="3" t="n">
        <f aca="false">(R205/P205-1)*-1</f>
        <v>0.134610011641444</v>
      </c>
      <c r="R205" s="2" t="n">
        <v>349</v>
      </c>
      <c r="S205" s="2" t="n">
        <v>309</v>
      </c>
    </row>
    <row r="206" customFormat="false" ht="14" hidden="false" customHeight="false" outlineLevel="0" collapsed="false">
      <c r="A206" s="1" t="s">
        <v>369</v>
      </c>
      <c r="B206" s="1" t="s">
        <v>20</v>
      </c>
      <c r="C206" s="1" t="s">
        <v>21</v>
      </c>
      <c r="D206" s="1" t="s">
        <v>370</v>
      </c>
      <c r="E206" s="1" t="s">
        <v>405</v>
      </c>
      <c r="F206" s="1" t="s">
        <v>406</v>
      </c>
      <c r="G206" s="1" t="s">
        <v>24</v>
      </c>
      <c r="H206" s="1" t="n">
        <v>2.13</v>
      </c>
      <c r="I206" s="1" t="s">
        <v>404</v>
      </c>
      <c r="J206" s="1" t="s">
        <v>208</v>
      </c>
      <c r="K206" s="1" t="s">
        <v>27</v>
      </c>
      <c r="L206" s="1" t="s">
        <v>56</v>
      </c>
      <c r="M206" s="1" t="s">
        <v>209</v>
      </c>
      <c r="N206" s="1" t="s">
        <v>99</v>
      </c>
      <c r="O206" s="2" t="n">
        <v>859</v>
      </c>
      <c r="P206" s="2" t="n">
        <f aca="false">O206/H206</f>
        <v>403.286384976526</v>
      </c>
      <c r="Q206" s="3" t="n">
        <f aca="false">(R206/P206-1)*-1</f>
        <v>0.208998835855646</v>
      </c>
      <c r="R206" s="2" t="n">
        <v>319</v>
      </c>
    </row>
    <row r="207" customFormat="false" ht="14" hidden="false" customHeight="false" outlineLevel="0" collapsed="false">
      <c r="A207" s="1" t="s">
        <v>369</v>
      </c>
      <c r="B207" s="1" t="s">
        <v>20</v>
      </c>
      <c r="C207" s="1" t="s">
        <v>21</v>
      </c>
      <c r="D207" s="1" t="s">
        <v>370</v>
      </c>
      <c r="E207" s="1" t="s">
        <v>407</v>
      </c>
      <c r="F207" s="1" t="s">
        <v>408</v>
      </c>
      <c r="G207" s="1" t="s">
        <v>24</v>
      </c>
      <c r="H207" s="1" t="n">
        <v>2.13</v>
      </c>
      <c r="I207" s="1" t="s">
        <v>404</v>
      </c>
      <c r="J207" s="1" t="s">
        <v>208</v>
      </c>
      <c r="K207" s="1" t="s">
        <v>61</v>
      </c>
      <c r="L207" s="1" t="s">
        <v>56</v>
      </c>
      <c r="M207" s="1" t="s">
        <v>209</v>
      </c>
      <c r="N207" s="1" t="s">
        <v>99</v>
      </c>
      <c r="O207" s="2" t="n">
        <v>859</v>
      </c>
      <c r="P207" s="2" t="n">
        <f aca="false">O207/H207</f>
        <v>403.286384976526</v>
      </c>
      <c r="Q207" s="3" t="n">
        <f aca="false">(R207/P207-1)*-1</f>
        <v>0.134610011641444</v>
      </c>
      <c r="R207" s="2" t="n">
        <v>349</v>
      </c>
      <c r="S207" s="2" t="n">
        <v>339</v>
      </c>
    </row>
    <row r="208" customFormat="false" ht="14" hidden="false" customHeight="false" outlineLevel="0" collapsed="false">
      <c r="A208" s="1" t="s">
        <v>369</v>
      </c>
      <c r="B208" s="1" t="s">
        <v>20</v>
      </c>
      <c r="C208" s="1" t="s">
        <v>21</v>
      </c>
      <c r="D208" s="1" t="s">
        <v>370</v>
      </c>
      <c r="E208" s="1" t="s">
        <v>409</v>
      </c>
      <c r="F208" s="1" t="s">
        <v>410</v>
      </c>
      <c r="G208" s="1" t="s">
        <v>24</v>
      </c>
      <c r="H208" s="1" t="n">
        <v>2.13</v>
      </c>
      <c r="I208" s="1" t="s">
        <v>404</v>
      </c>
      <c r="J208" s="1" t="s">
        <v>208</v>
      </c>
      <c r="K208" s="1" t="s">
        <v>61</v>
      </c>
      <c r="L208" s="1" t="s">
        <v>411</v>
      </c>
      <c r="M208" s="1" t="s">
        <v>209</v>
      </c>
      <c r="N208" s="1" t="s">
        <v>99</v>
      </c>
      <c r="O208" s="2" t="n">
        <v>859</v>
      </c>
      <c r="P208" s="2" t="n">
        <f aca="false">O208/H208</f>
        <v>403.286384976526</v>
      </c>
      <c r="Q208" s="3" t="n">
        <f aca="false">(R208/P208-1)*-1</f>
        <v>0.134610011641444</v>
      </c>
      <c r="R208" s="2" t="n">
        <v>349</v>
      </c>
      <c r="S208" s="2" t="n">
        <v>339</v>
      </c>
    </row>
    <row r="209" customFormat="false" ht="14" hidden="false" customHeight="false" outlineLevel="0" collapsed="false">
      <c r="A209" s="1" t="s">
        <v>369</v>
      </c>
      <c r="B209" s="1" t="s">
        <v>20</v>
      </c>
      <c r="C209" s="1" t="s">
        <v>21</v>
      </c>
      <c r="D209" s="1" t="s">
        <v>370</v>
      </c>
      <c r="E209" s="1" t="s">
        <v>412</v>
      </c>
      <c r="F209" s="1" t="s">
        <v>413</v>
      </c>
      <c r="G209" s="1" t="s">
        <v>24</v>
      </c>
      <c r="H209" s="1" t="n">
        <v>1.44</v>
      </c>
      <c r="I209" s="1" t="s">
        <v>278</v>
      </c>
      <c r="J209" s="1" t="s">
        <v>208</v>
      </c>
      <c r="K209" s="1" t="s">
        <v>27</v>
      </c>
      <c r="L209" s="1" t="s">
        <v>63</v>
      </c>
      <c r="M209" s="1" t="s">
        <v>209</v>
      </c>
      <c r="N209" s="1" t="s">
        <v>99</v>
      </c>
      <c r="O209" s="2" t="n">
        <v>1359.04</v>
      </c>
      <c r="P209" s="2" t="n">
        <f aca="false">O209/H209</f>
        <v>943.777777777778</v>
      </c>
      <c r="Q209" s="3" t="n">
        <f aca="false">(R209/P209-1)*-1</f>
        <v>0.450082411113727</v>
      </c>
      <c r="R209" s="2" t="n">
        <v>519</v>
      </c>
      <c r="S209" s="2" t="n">
        <v>499</v>
      </c>
    </row>
    <row r="210" customFormat="false" ht="14" hidden="false" customHeight="false" outlineLevel="0" collapsed="false">
      <c r="A210" s="1" t="s">
        <v>369</v>
      </c>
      <c r="B210" s="1" t="s">
        <v>20</v>
      </c>
      <c r="C210" s="1" t="s">
        <v>21</v>
      </c>
      <c r="D210" s="1" t="s">
        <v>370</v>
      </c>
      <c r="E210" s="1" t="s">
        <v>414</v>
      </c>
      <c r="F210" s="1" t="s">
        <v>415</v>
      </c>
      <c r="G210" s="1" t="s">
        <v>24</v>
      </c>
      <c r="H210" s="1" t="n">
        <v>1.44</v>
      </c>
      <c r="I210" s="1" t="s">
        <v>278</v>
      </c>
      <c r="J210" s="1" t="s">
        <v>208</v>
      </c>
      <c r="K210" s="1" t="s">
        <v>27</v>
      </c>
      <c r="L210" s="1" t="s">
        <v>97</v>
      </c>
      <c r="M210" s="1" t="s">
        <v>209</v>
      </c>
      <c r="N210" s="1" t="s">
        <v>99</v>
      </c>
      <c r="O210" s="2" t="n">
        <v>984.43</v>
      </c>
      <c r="P210" s="2" t="n">
        <f aca="false">O210/H210</f>
        <v>683.631944444445</v>
      </c>
      <c r="Q210" s="3" t="n">
        <f aca="false">(R210/P210-1)*-1</f>
        <v>0.518746889062706</v>
      </c>
      <c r="R210" s="2" t="n">
        <v>329</v>
      </c>
    </row>
    <row r="211" customFormat="false" ht="14" hidden="false" customHeight="false" outlineLevel="0" collapsed="false">
      <c r="A211" s="1" t="s">
        <v>369</v>
      </c>
      <c r="B211" s="1" t="s">
        <v>20</v>
      </c>
      <c r="C211" s="1" t="s">
        <v>21</v>
      </c>
      <c r="D211" s="1" t="s">
        <v>370</v>
      </c>
      <c r="E211" s="1" t="s">
        <v>416</v>
      </c>
      <c r="F211" s="1" t="s">
        <v>417</v>
      </c>
      <c r="G211" s="1" t="s">
        <v>24</v>
      </c>
      <c r="H211" s="1" t="n">
        <v>1.44</v>
      </c>
      <c r="I211" s="1" t="s">
        <v>278</v>
      </c>
      <c r="J211" s="1" t="s">
        <v>208</v>
      </c>
      <c r="K211" s="1" t="s">
        <v>27</v>
      </c>
      <c r="L211" s="1" t="s">
        <v>63</v>
      </c>
      <c r="M211" s="1" t="s">
        <v>209</v>
      </c>
      <c r="N211" s="1" t="s">
        <v>99</v>
      </c>
      <c r="O211" s="2" t="n">
        <v>1155.76</v>
      </c>
      <c r="P211" s="2" t="n">
        <f aca="false">O211/H211</f>
        <v>802.611111111111</v>
      </c>
      <c r="Q211" s="3" t="n">
        <f aca="false">(R211/P211-1)*-1</f>
        <v>0.403197895756905</v>
      </c>
      <c r="R211" s="2" t="n">
        <v>479</v>
      </c>
      <c r="S211" s="2" t="n">
        <v>469</v>
      </c>
    </row>
    <row r="212" customFormat="false" ht="14" hidden="false" customHeight="false" outlineLevel="0" collapsed="false">
      <c r="A212" s="1" t="s">
        <v>369</v>
      </c>
      <c r="B212" s="1" t="s">
        <v>20</v>
      </c>
      <c r="C212" s="1" t="s">
        <v>21</v>
      </c>
      <c r="D212" s="1" t="s">
        <v>370</v>
      </c>
      <c r="E212" s="1" t="s">
        <v>418</v>
      </c>
      <c r="F212" s="1" t="s">
        <v>419</v>
      </c>
      <c r="G212" s="1" t="s">
        <v>24</v>
      </c>
      <c r="H212" s="1" t="n">
        <v>1.44</v>
      </c>
      <c r="I212" s="1" t="s">
        <v>278</v>
      </c>
      <c r="J212" s="1" t="s">
        <v>208</v>
      </c>
      <c r="K212" s="1" t="s">
        <v>27</v>
      </c>
      <c r="L212" s="1" t="s">
        <v>56</v>
      </c>
      <c r="M212" s="1" t="s">
        <v>209</v>
      </c>
      <c r="N212" s="1" t="s">
        <v>99</v>
      </c>
      <c r="O212" s="2" t="n">
        <v>984.43</v>
      </c>
      <c r="P212" s="2" t="n">
        <f aca="false">O212/H212</f>
        <v>683.631944444445</v>
      </c>
      <c r="Q212" s="3" t="n">
        <f aca="false">(R212/P212-1)*-1</f>
        <v>0.416352610139878</v>
      </c>
      <c r="R212" s="2" t="n">
        <v>399</v>
      </c>
      <c r="S212" s="2" t="n">
        <v>389</v>
      </c>
    </row>
    <row r="213" customFormat="false" ht="14" hidden="false" customHeight="false" outlineLevel="0" collapsed="false">
      <c r="A213" s="1" t="s">
        <v>369</v>
      </c>
      <c r="B213" s="1" t="s">
        <v>20</v>
      </c>
      <c r="C213" s="1" t="s">
        <v>21</v>
      </c>
      <c r="D213" s="1" t="s">
        <v>370</v>
      </c>
      <c r="E213" s="1" t="s">
        <v>420</v>
      </c>
      <c r="F213" s="1" t="s">
        <v>421</v>
      </c>
      <c r="G213" s="1" t="s">
        <v>24</v>
      </c>
      <c r="H213" s="1" t="n">
        <v>1.44</v>
      </c>
      <c r="I213" s="1" t="s">
        <v>104</v>
      </c>
      <c r="J213" s="1" t="s">
        <v>208</v>
      </c>
      <c r="K213" s="1" t="s">
        <v>27</v>
      </c>
      <c r="L213" s="1" t="s">
        <v>97</v>
      </c>
      <c r="M213" s="1" t="s">
        <v>209</v>
      </c>
      <c r="N213" s="1" t="s">
        <v>99</v>
      </c>
      <c r="O213" s="2" t="n">
        <v>879.89</v>
      </c>
      <c r="P213" s="2" t="n">
        <f aca="false">O213/H213</f>
        <v>611.034722222222</v>
      </c>
      <c r="Q213" s="3" t="n">
        <f aca="false">(R213/P213-1)*-1</f>
        <v>0.494300423916626</v>
      </c>
      <c r="R213" s="2" t="n">
        <v>309</v>
      </c>
    </row>
    <row r="214" customFormat="false" ht="14" hidden="false" customHeight="false" outlineLevel="0" collapsed="false">
      <c r="A214" s="1" t="s">
        <v>369</v>
      </c>
      <c r="B214" s="1" t="s">
        <v>20</v>
      </c>
      <c r="C214" s="1" t="s">
        <v>21</v>
      </c>
      <c r="D214" s="1" t="s">
        <v>370</v>
      </c>
      <c r="E214" s="1" t="s">
        <v>422</v>
      </c>
      <c r="F214" s="1" t="s">
        <v>423</v>
      </c>
      <c r="G214" s="1" t="s">
        <v>24</v>
      </c>
      <c r="H214" s="1" t="n">
        <v>1.44</v>
      </c>
      <c r="I214" s="1" t="s">
        <v>104</v>
      </c>
      <c r="J214" s="1" t="s">
        <v>208</v>
      </c>
      <c r="K214" s="1" t="s">
        <v>27</v>
      </c>
      <c r="L214" s="1" t="s">
        <v>32</v>
      </c>
      <c r="M214" s="1" t="s">
        <v>209</v>
      </c>
      <c r="N214" s="1" t="s">
        <v>99</v>
      </c>
      <c r="O214" s="2" t="n">
        <v>879.89</v>
      </c>
      <c r="P214" s="2" t="n">
        <f aca="false">O214/H214</f>
        <v>611.034722222222</v>
      </c>
      <c r="Q214" s="3" t="n">
        <f aca="false">(R214/P214-1)*-1</f>
        <v>0.494300423916626</v>
      </c>
      <c r="R214" s="2" t="n">
        <v>309</v>
      </c>
      <c r="S214" s="2" t="n">
        <v>299</v>
      </c>
    </row>
    <row r="215" customFormat="false" ht="14" hidden="false" customHeight="false" outlineLevel="0" collapsed="false">
      <c r="A215" s="1" t="s">
        <v>369</v>
      </c>
      <c r="B215" s="1" t="s">
        <v>20</v>
      </c>
      <c r="C215" s="1" t="s">
        <v>21</v>
      </c>
      <c r="D215" s="1" t="s">
        <v>370</v>
      </c>
      <c r="E215" s="1" t="s">
        <v>424</v>
      </c>
      <c r="F215" s="1" t="s">
        <v>425</v>
      </c>
      <c r="G215" s="1" t="s">
        <v>24</v>
      </c>
      <c r="H215" s="1" t="n">
        <v>1.44</v>
      </c>
      <c r="I215" s="1" t="s">
        <v>104</v>
      </c>
      <c r="J215" s="1" t="s">
        <v>208</v>
      </c>
      <c r="K215" s="1" t="s">
        <v>27</v>
      </c>
      <c r="L215" s="1" t="s">
        <v>28</v>
      </c>
      <c r="M215" s="1" t="s">
        <v>209</v>
      </c>
      <c r="N215" s="1" t="s">
        <v>99</v>
      </c>
      <c r="O215" s="2" t="n">
        <v>539</v>
      </c>
      <c r="P215" s="2" t="n">
        <f aca="false">O215/H215</f>
        <v>374.305555555556</v>
      </c>
      <c r="Q215" s="3" t="n">
        <f aca="false">(R215/P215-1)*-1</f>
        <v>0.388200371057514</v>
      </c>
      <c r="R215" s="2" t="n">
        <v>229</v>
      </c>
      <c r="S215" s="2" t="n">
        <v>0</v>
      </c>
    </row>
    <row r="216" customFormat="false" ht="14" hidden="false" customHeight="false" outlineLevel="0" collapsed="false">
      <c r="A216" s="1" t="s">
        <v>369</v>
      </c>
      <c r="B216" s="1" t="s">
        <v>20</v>
      </c>
      <c r="C216" s="1" t="s">
        <v>21</v>
      </c>
      <c r="D216" s="1" t="s">
        <v>370</v>
      </c>
      <c r="E216" s="1" t="s">
        <v>426</v>
      </c>
      <c r="F216" s="1" t="s">
        <v>427</v>
      </c>
      <c r="G216" s="1" t="s">
        <v>24</v>
      </c>
      <c r="H216" s="1" t="n">
        <v>1.44</v>
      </c>
      <c r="I216" s="1" t="s">
        <v>104</v>
      </c>
      <c r="J216" s="1" t="s">
        <v>208</v>
      </c>
      <c r="K216" s="1" t="s">
        <v>61</v>
      </c>
      <c r="L216" s="1" t="s">
        <v>56</v>
      </c>
      <c r="M216" s="1" t="s">
        <v>209</v>
      </c>
      <c r="N216" s="1" t="s">
        <v>99</v>
      </c>
      <c r="O216" s="2" t="n">
        <v>879.89</v>
      </c>
      <c r="P216" s="2" t="n">
        <f aca="false">O216/H216</f>
        <v>611.034722222222</v>
      </c>
      <c r="Q216" s="3" t="n">
        <f aca="false">(R216/P216-1)*-1</f>
        <v>0.445203377694939</v>
      </c>
      <c r="R216" s="2" t="n">
        <v>339</v>
      </c>
    </row>
    <row r="217" customFormat="false" ht="14" hidden="false" customHeight="false" outlineLevel="0" collapsed="false">
      <c r="A217" s="1" t="s">
        <v>45</v>
      </c>
      <c r="B217" s="1" t="s">
        <v>20</v>
      </c>
      <c r="C217" s="1" t="s">
        <v>21</v>
      </c>
      <c r="D217" s="1" t="s">
        <v>46</v>
      </c>
      <c r="E217" s="1" t="s">
        <v>428</v>
      </c>
      <c r="F217" s="1" t="s">
        <v>429</v>
      </c>
      <c r="G217" s="1" t="s">
        <v>24</v>
      </c>
      <c r="H217" s="1" t="n">
        <v>1.16</v>
      </c>
      <c r="I217" s="1" t="s">
        <v>430</v>
      </c>
      <c r="J217" s="1" t="s">
        <v>26</v>
      </c>
      <c r="K217" s="1" t="s">
        <v>58</v>
      </c>
      <c r="L217" s="1" t="s">
        <v>59</v>
      </c>
      <c r="M217" s="1" t="s">
        <v>29</v>
      </c>
      <c r="N217" s="1" t="s">
        <v>99</v>
      </c>
      <c r="O217" s="2" t="n">
        <v>809</v>
      </c>
      <c r="P217" s="2" t="n">
        <f aca="false">O217/H217</f>
        <v>697.413793103448</v>
      </c>
      <c r="Q217" s="3" t="n">
        <f aca="false">(R217/P217-1)*-1</f>
        <v>0.37053152039555</v>
      </c>
      <c r="R217" s="2" t="n">
        <v>439</v>
      </c>
    </row>
    <row r="218" customFormat="false" ht="14" hidden="false" customHeight="false" outlineLevel="0" collapsed="false">
      <c r="A218" s="1" t="s">
        <v>45</v>
      </c>
      <c r="B218" s="1" t="s">
        <v>20</v>
      </c>
      <c r="C218" s="1" t="s">
        <v>21</v>
      </c>
      <c r="D218" s="1" t="s">
        <v>46</v>
      </c>
      <c r="E218" s="1" t="s">
        <v>431</v>
      </c>
      <c r="F218" s="1" t="s">
        <v>432</v>
      </c>
      <c r="G218" s="1" t="s">
        <v>24</v>
      </c>
      <c r="H218" s="1" t="n">
        <v>1.6</v>
      </c>
      <c r="I218" s="1" t="s">
        <v>433</v>
      </c>
      <c r="J218" s="1" t="s">
        <v>26</v>
      </c>
      <c r="K218" s="1" t="s">
        <v>61</v>
      </c>
      <c r="L218" s="1" t="s">
        <v>56</v>
      </c>
      <c r="M218" s="1" t="s">
        <v>29</v>
      </c>
      <c r="N218" s="1" t="s">
        <v>99</v>
      </c>
      <c r="O218" s="2" t="n">
        <v>859</v>
      </c>
      <c r="P218" s="2" t="n">
        <f aca="false">O218/H218</f>
        <v>536.875</v>
      </c>
      <c r="Q218" s="3" t="n">
        <f aca="false">(R218/P218-1)*-1</f>
        <v>0.163678696158324</v>
      </c>
      <c r="R218" s="2" t="n">
        <v>449</v>
      </c>
      <c r="S218" s="2" t="n">
        <f aca="false">R218-10</f>
        <v>439</v>
      </c>
    </row>
    <row r="219" customFormat="false" ht="14" hidden="false" customHeight="false" outlineLevel="0" collapsed="false">
      <c r="A219" s="1" t="s">
        <v>369</v>
      </c>
      <c r="B219" s="1" t="s">
        <v>20</v>
      </c>
      <c r="C219" s="1" t="s">
        <v>21</v>
      </c>
      <c r="D219" s="1" t="s">
        <v>370</v>
      </c>
      <c r="E219" s="1" t="s">
        <v>434</v>
      </c>
      <c r="F219" s="1" t="s">
        <v>435</v>
      </c>
      <c r="G219" s="1" t="s">
        <v>24</v>
      </c>
      <c r="H219" s="1" t="n">
        <v>1.44</v>
      </c>
      <c r="I219" s="1" t="s">
        <v>104</v>
      </c>
      <c r="J219" s="1" t="s">
        <v>208</v>
      </c>
      <c r="K219" s="1" t="s">
        <v>27</v>
      </c>
      <c r="L219" s="1" t="s">
        <v>56</v>
      </c>
      <c r="M219" s="1" t="s">
        <v>29</v>
      </c>
      <c r="N219" s="1" t="s">
        <v>99</v>
      </c>
      <c r="O219" s="2" t="n">
        <v>776.74</v>
      </c>
      <c r="P219" s="2" t="n">
        <f aca="false">O219/H219</f>
        <v>539.402777777778</v>
      </c>
      <c r="Q219" s="3" t="n">
        <f aca="false">(R219/P219-1)*-1</f>
        <v>0.482761284342251</v>
      </c>
      <c r="R219" s="2" t="n">
        <v>279</v>
      </c>
      <c r="S219" s="2" t="n">
        <v>0</v>
      </c>
    </row>
    <row r="220" customFormat="false" ht="14" hidden="false" customHeight="false" outlineLevel="0" collapsed="false">
      <c r="A220" s="1" t="s">
        <v>369</v>
      </c>
      <c r="B220" s="1" t="s">
        <v>20</v>
      </c>
      <c r="C220" s="1" t="s">
        <v>21</v>
      </c>
      <c r="D220" s="1" t="s">
        <v>370</v>
      </c>
      <c r="E220" s="1" t="s">
        <v>436</v>
      </c>
      <c r="F220" s="1" t="s">
        <v>437</v>
      </c>
      <c r="G220" s="1" t="s">
        <v>24</v>
      </c>
      <c r="H220" s="1" t="n">
        <v>1.44</v>
      </c>
      <c r="I220" s="1" t="s">
        <v>104</v>
      </c>
      <c r="J220" s="1" t="s">
        <v>208</v>
      </c>
      <c r="K220" s="1" t="s">
        <v>27</v>
      </c>
      <c r="L220" s="1" t="s">
        <v>56</v>
      </c>
      <c r="M220" s="1" t="s">
        <v>209</v>
      </c>
      <c r="N220" s="1" t="s">
        <v>99</v>
      </c>
      <c r="O220" s="2" t="n">
        <v>675.7</v>
      </c>
      <c r="P220" s="2" t="n">
        <f aca="false">O220/H220</f>
        <v>469.236111111111</v>
      </c>
      <c r="Q220" s="3" t="n">
        <f aca="false">(R220/P220-1)*-1</f>
        <v>0.362794139410981</v>
      </c>
      <c r="R220" s="2" t="n">
        <v>299</v>
      </c>
      <c r="S220" s="2" t="n">
        <v>289</v>
      </c>
    </row>
    <row r="221" customFormat="false" ht="14" hidden="false" customHeight="false" outlineLevel="0" collapsed="false">
      <c r="A221" s="1" t="s">
        <v>45</v>
      </c>
      <c r="B221" s="1" t="s">
        <v>20</v>
      </c>
      <c r="C221" s="1" t="s">
        <v>21</v>
      </c>
      <c r="D221" s="1" t="s">
        <v>46</v>
      </c>
      <c r="E221" s="1" t="s">
        <v>438</v>
      </c>
      <c r="F221" s="1" t="s">
        <v>439</v>
      </c>
      <c r="G221" s="1" t="s">
        <v>24</v>
      </c>
      <c r="H221" s="1" t="n">
        <v>1.42</v>
      </c>
      <c r="I221" s="1" t="s">
        <v>440</v>
      </c>
      <c r="J221" s="1" t="s">
        <v>208</v>
      </c>
      <c r="K221" s="1" t="s">
        <v>42</v>
      </c>
      <c r="L221" s="1" t="s">
        <v>74</v>
      </c>
      <c r="M221" s="1" t="s">
        <v>209</v>
      </c>
      <c r="N221" s="1" t="s">
        <v>99</v>
      </c>
      <c r="O221" s="2" t="n">
        <v>809</v>
      </c>
      <c r="P221" s="2" t="n">
        <f aca="false">O221/H221</f>
        <v>569.718309859155</v>
      </c>
      <c r="Q221" s="3" t="n">
        <f aca="false">(R221/P221-1)*-1</f>
        <v>0.246996291718171</v>
      </c>
      <c r="R221" s="2" t="n">
        <v>429</v>
      </c>
      <c r="S221" s="2" t="n">
        <f aca="false">R221-10</f>
        <v>419</v>
      </c>
    </row>
    <row r="222" customFormat="false" ht="14" hidden="false" customHeight="false" outlineLevel="0" collapsed="false">
      <c r="A222" s="1" t="s">
        <v>45</v>
      </c>
      <c r="B222" s="1" t="s">
        <v>20</v>
      </c>
      <c r="C222" s="1" t="s">
        <v>21</v>
      </c>
      <c r="D222" s="1" t="s">
        <v>46</v>
      </c>
      <c r="E222" s="1" t="s">
        <v>441</v>
      </c>
      <c r="F222" s="1" t="s">
        <v>442</v>
      </c>
      <c r="G222" s="1" t="s">
        <v>24</v>
      </c>
      <c r="H222" s="1" t="n">
        <v>1.16</v>
      </c>
      <c r="I222" s="1" t="s">
        <v>430</v>
      </c>
      <c r="J222" s="1" t="s">
        <v>26</v>
      </c>
      <c r="K222" s="1" t="s">
        <v>58</v>
      </c>
      <c r="L222" s="1" t="s">
        <v>32</v>
      </c>
      <c r="M222" s="1" t="s">
        <v>29</v>
      </c>
      <c r="N222" s="1" t="s">
        <v>99</v>
      </c>
      <c r="O222" s="2" t="n">
        <v>809</v>
      </c>
      <c r="P222" s="2" t="n">
        <f aca="false">O222/H222</f>
        <v>697.413793103448</v>
      </c>
      <c r="Q222" s="3" t="n">
        <f aca="false">(R222/P222-1)*-1</f>
        <v>0.184128553770087</v>
      </c>
      <c r="R222" s="2" t="n">
        <v>569</v>
      </c>
      <c r="S222" s="2" t="n">
        <f aca="false">R222-10</f>
        <v>559</v>
      </c>
    </row>
    <row r="223" customFormat="false" ht="14" hidden="false" customHeight="false" outlineLevel="0" collapsed="false">
      <c r="A223" s="1" t="s">
        <v>45</v>
      </c>
      <c r="B223" s="1" t="s">
        <v>20</v>
      </c>
      <c r="C223" s="1" t="s">
        <v>21</v>
      </c>
      <c r="D223" s="1" t="s">
        <v>46</v>
      </c>
      <c r="E223" s="1" t="s">
        <v>443</v>
      </c>
      <c r="F223" s="1" t="s">
        <v>444</v>
      </c>
      <c r="G223" s="1" t="s">
        <v>24</v>
      </c>
      <c r="H223" s="1" t="n">
        <v>1.16</v>
      </c>
      <c r="I223" s="1" t="s">
        <v>430</v>
      </c>
      <c r="J223" s="1" t="s">
        <v>26</v>
      </c>
      <c r="K223" s="1" t="s">
        <v>58</v>
      </c>
      <c r="L223" s="1" t="s">
        <v>28</v>
      </c>
      <c r="M223" s="1" t="s">
        <v>29</v>
      </c>
      <c r="N223" s="1" t="s">
        <v>99</v>
      </c>
      <c r="O223" s="2" t="n">
        <v>809</v>
      </c>
      <c r="P223" s="2" t="n">
        <f aca="false">O223/H223</f>
        <v>697.413793103448</v>
      </c>
      <c r="Q223" s="3" t="n">
        <f aca="false">(R223/P223-1)*-1</f>
        <v>0.184128553770087</v>
      </c>
      <c r="R223" s="2" t="n">
        <v>569</v>
      </c>
      <c r="S223" s="2" t="n">
        <f aca="false">R223-10</f>
        <v>559</v>
      </c>
    </row>
    <row r="224" customFormat="false" ht="14" hidden="false" customHeight="false" outlineLevel="0" collapsed="false">
      <c r="A224" s="1" t="s">
        <v>45</v>
      </c>
      <c r="B224" s="1" t="s">
        <v>20</v>
      </c>
      <c r="C224" s="1" t="s">
        <v>21</v>
      </c>
      <c r="D224" s="1" t="s">
        <v>46</v>
      </c>
      <c r="E224" s="1" t="s">
        <v>445</v>
      </c>
      <c r="F224" s="1" t="s">
        <v>446</v>
      </c>
      <c r="G224" s="1" t="s">
        <v>24</v>
      </c>
      <c r="H224" s="1" t="n">
        <v>2.56</v>
      </c>
      <c r="I224" s="1" t="s">
        <v>297</v>
      </c>
      <c r="J224" s="1" t="s">
        <v>208</v>
      </c>
      <c r="K224" s="1" t="s">
        <v>27</v>
      </c>
      <c r="L224" s="1" t="s">
        <v>56</v>
      </c>
      <c r="M224" s="1" t="s">
        <v>209</v>
      </c>
      <c r="N224" s="1" t="s">
        <v>99</v>
      </c>
      <c r="O224" s="2" t="n">
        <v>2099</v>
      </c>
      <c r="P224" s="2" t="n">
        <f aca="false">O224/H224</f>
        <v>819.921875</v>
      </c>
      <c r="Q224" s="3" t="n">
        <f aca="false">(R224/P224-1)*-1</f>
        <v>0.20846117198666</v>
      </c>
      <c r="R224" s="2" t="n">
        <v>649</v>
      </c>
      <c r="S224" s="2" t="n">
        <f aca="false">R224-10</f>
        <v>639</v>
      </c>
    </row>
    <row r="225" customFormat="false" ht="14" hidden="false" customHeight="false" outlineLevel="0" collapsed="false">
      <c r="A225" s="1" t="s">
        <v>45</v>
      </c>
      <c r="B225" s="1" t="s">
        <v>20</v>
      </c>
      <c r="C225" s="1" t="s">
        <v>21</v>
      </c>
      <c r="D225" s="1" t="s">
        <v>46</v>
      </c>
      <c r="E225" s="1" t="s">
        <v>447</v>
      </c>
      <c r="F225" s="1" t="s">
        <v>448</v>
      </c>
      <c r="G225" s="1" t="s">
        <v>24</v>
      </c>
      <c r="H225" s="1" t="n">
        <v>2.56</v>
      </c>
      <c r="I225" s="1" t="s">
        <v>297</v>
      </c>
      <c r="J225" s="1" t="s">
        <v>208</v>
      </c>
      <c r="K225" s="1" t="s">
        <v>27</v>
      </c>
      <c r="L225" s="1" t="s">
        <v>28</v>
      </c>
      <c r="M225" s="1" t="s">
        <v>209</v>
      </c>
      <c r="N225" s="1" t="s">
        <v>99</v>
      </c>
      <c r="O225" s="2" t="n">
        <v>1899</v>
      </c>
      <c r="P225" s="2" t="n">
        <f aca="false">O225/H225</f>
        <v>741.796875</v>
      </c>
      <c r="Q225" s="3" t="n">
        <f aca="false">(R225/P225-1)*-1</f>
        <v>0.125097419694576</v>
      </c>
      <c r="R225" s="2" t="n">
        <v>649</v>
      </c>
      <c r="S225" s="2" t="n">
        <f aca="false">R225-10</f>
        <v>639</v>
      </c>
    </row>
    <row r="226" customFormat="false" ht="14" hidden="false" customHeight="false" outlineLevel="0" collapsed="false">
      <c r="A226" s="1" t="s">
        <v>45</v>
      </c>
      <c r="B226" s="1" t="s">
        <v>20</v>
      </c>
      <c r="C226" s="1" t="s">
        <v>21</v>
      </c>
      <c r="D226" s="1" t="s">
        <v>46</v>
      </c>
      <c r="E226" s="1" t="s">
        <v>449</v>
      </c>
      <c r="F226" s="1" t="s">
        <v>450</v>
      </c>
      <c r="G226" s="1" t="s">
        <v>24</v>
      </c>
      <c r="H226" s="1" t="n">
        <v>2.56</v>
      </c>
      <c r="I226" s="1" t="s">
        <v>297</v>
      </c>
      <c r="J226" s="1" t="s">
        <v>208</v>
      </c>
      <c r="K226" s="1" t="s">
        <v>42</v>
      </c>
      <c r="L226" s="1" t="s">
        <v>78</v>
      </c>
      <c r="M226" s="1" t="s">
        <v>209</v>
      </c>
      <c r="N226" s="1" t="s">
        <v>99</v>
      </c>
      <c r="O226" s="2" t="n">
        <v>2299</v>
      </c>
      <c r="P226" s="2" t="n">
        <f aca="false">O226/H226</f>
        <v>898.046875</v>
      </c>
      <c r="Q226" s="3" t="n">
        <f aca="false">(R226/P226-1)*-1</f>
        <v>0.221644193127447</v>
      </c>
      <c r="R226" s="2" t="n">
        <v>699</v>
      </c>
      <c r="S226" s="2" t="n">
        <f aca="false">R226-10</f>
        <v>689</v>
      </c>
    </row>
    <row r="227" customFormat="false" ht="14" hidden="false" customHeight="false" outlineLevel="0" collapsed="false">
      <c r="A227" s="1" t="s">
        <v>45</v>
      </c>
      <c r="B227" s="1" t="s">
        <v>20</v>
      </c>
      <c r="C227" s="1" t="s">
        <v>21</v>
      </c>
      <c r="D227" s="1" t="s">
        <v>46</v>
      </c>
      <c r="E227" s="1" t="s">
        <v>451</v>
      </c>
      <c r="F227" s="1" t="s">
        <v>452</v>
      </c>
      <c r="G227" s="1" t="s">
        <v>24</v>
      </c>
      <c r="H227" s="1" t="n">
        <v>2.56</v>
      </c>
      <c r="I227" s="1" t="s">
        <v>297</v>
      </c>
      <c r="J227" s="1" t="s">
        <v>208</v>
      </c>
      <c r="K227" s="1" t="s">
        <v>27</v>
      </c>
      <c r="L227" s="1" t="s">
        <v>56</v>
      </c>
      <c r="M227" s="1" t="s">
        <v>209</v>
      </c>
      <c r="N227" s="1" t="s">
        <v>99</v>
      </c>
      <c r="O227" s="2" t="n">
        <v>2099</v>
      </c>
      <c r="P227" s="2" t="n">
        <f aca="false">O227/H227</f>
        <v>819.921875</v>
      </c>
      <c r="Q227" s="3" t="n">
        <f aca="false">(R227/P227-1)*-1</f>
        <v>0.20846117198666</v>
      </c>
      <c r="R227" s="2" t="n">
        <v>649</v>
      </c>
      <c r="S227" s="2" t="n">
        <f aca="false">R227-10</f>
        <v>639</v>
      </c>
    </row>
    <row r="228" customFormat="false" ht="14" hidden="false" customHeight="false" outlineLevel="0" collapsed="false">
      <c r="A228" s="1" t="s">
        <v>45</v>
      </c>
      <c r="B228" s="1" t="s">
        <v>20</v>
      </c>
      <c r="C228" s="1" t="s">
        <v>21</v>
      </c>
      <c r="D228" s="1" t="s">
        <v>46</v>
      </c>
      <c r="E228" s="1" t="s">
        <v>453</v>
      </c>
      <c r="F228" s="1" t="s">
        <v>454</v>
      </c>
      <c r="G228" s="1" t="s">
        <v>24</v>
      </c>
      <c r="H228" s="1" t="n">
        <v>2.56</v>
      </c>
      <c r="I228" s="1" t="s">
        <v>297</v>
      </c>
      <c r="J228" s="1" t="s">
        <v>208</v>
      </c>
      <c r="K228" s="1" t="s">
        <v>27</v>
      </c>
      <c r="L228" s="1" t="s">
        <v>28</v>
      </c>
      <c r="M228" s="1" t="s">
        <v>209</v>
      </c>
      <c r="N228" s="1" t="s">
        <v>99</v>
      </c>
      <c r="O228" s="2" t="n">
        <v>1899</v>
      </c>
      <c r="P228" s="2" t="n">
        <f aca="false">O228/H228</f>
        <v>741.796875</v>
      </c>
      <c r="Q228" s="3" t="n">
        <f aca="false">(R228/P228-1)*-1</f>
        <v>0.125097419694576</v>
      </c>
      <c r="R228" s="2" t="n">
        <v>649</v>
      </c>
      <c r="S228" s="2" t="n">
        <f aca="false">R228-10</f>
        <v>639</v>
      </c>
    </row>
    <row r="229" customFormat="false" ht="14" hidden="false" customHeight="false" outlineLevel="0" collapsed="false">
      <c r="A229" s="1" t="s">
        <v>45</v>
      </c>
      <c r="B229" s="1" t="s">
        <v>20</v>
      </c>
      <c r="C229" s="1" t="s">
        <v>21</v>
      </c>
      <c r="D229" s="1" t="s">
        <v>46</v>
      </c>
      <c r="E229" s="1" t="s">
        <v>455</v>
      </c>
      <c r="F229" s="1" t="s">
        <v>456</v>
      </c>
      <c r="G229" s="1" t="s">
        <v>24</v>
      </c>
      <c r="H229" s="1" t="n">
        <v>2.56</v>
      </c>
      <c r="I229" s="1" t="s">
        <v>297</v>
      </c>
      <c r="J229" s="1" t="s">
        <v>208</v>
      </c>
      <c r="K229" s="1" t="s">
        <v>27</v>
      </c>
      <c r="L229" s="1" t="s">
        <v>32</v>
      </c>
      <c r="M229" s="1" t="s">
        <v>209</v>
      </c>
      <c r="N229" s="1" t="s">
        <v>99</v>
      </c>
      <c r="O229" s="2" t="n">
        <v>1899</v>
      </c>
      <c r="P229" s="2" t="n">
        <f aca="false">O229/H229</f>
        <v>741.796875</v>
      </c>
      <c r="Q229" s="3" t="n">
        <f aca="false">(R229/P229-1)*-1</f>
        <v>0.125097419694576</v>
      </c>
      <c r="R229" s="2" t="n">
        <v>649</v>
      </c>
      <c r="S229" s="2" t="n">
        <f aca="false">R229-10</f>
        <v>639</v>
      </c>
    </row>
    <row r="230" customFormat="false" ht="14" hidden="false" customHeight="false" outlineLevel="0" collapsed="false">
      <c r="A230" s="1" t="s">
        <v>45</v>
      </c>
      <c r="B230" s="1" t="s">
        <v>20</v>
      </c>
      <c r="C230" s="1" t="s">
        <v>21</v>
      </c>
      <c r="D230" s="1" t="s">
        <v>46</v>
      </c>
      <c r="E230" s="1" t="s">
        <v>457</v>
      </c>
      <c r="F230" s="1" t="s">
        <v>458</v>
      </c>
      <c r="G230" s="1" t="s">
        <v>24</v>
      </c>
      <c r="H230" s="1" t="n">
        <v>2.56</v>
      </c>
      <c r="I230" s="1" t="s">
        <v>297</v>
      </c>
      <c r="J230" s="1" t="s">
        <v>208</v>
      </c>
      <c r="K230" s="1" t="s">
        <v>27</v>
      </c>
      <c r="L230" s="1" t="s">
        <v>32</v>
      </c>
      <c r="M230" s="1" t="s">
        <v>209</v>
      </c>
      <c r="N230" s="1" t="s">
        <v>99</v>
      </c>
      <c r="O230" s="2" t="n">
        <v>1899</v>
      </c>
      <c r="P230" s="2" t="n">
        <f aca="false">O230/H230</f>
        <v>741.796875</v>
      </c>
      <c r="Q230" s="3" t="n">
        <f aca="false">(R230/P230-1)*-1</f>
        <v>0.125097419694576</v>
      </c>
      <c r="R230" s="2" t="n">
        <v>649</v>
      </c>
      <c r="S230" s="2" t="n">
        <f aca="false">R230-10</f>
        <v>639</v>
      </c>
    </row>
    <row r="231" customFormat="false" ht="14" hidden="false" customHeight="false" outlineLevel="0" collapsed="false">
      <c r="A231" s="1" t="s">
        <v>45</v>
      </c>
      <c r="B231" s="1" t="s">
        <v>20</v>
      </c>
      <c r="C231" s="1" t="s">
        <v>21</v>
      </c>
      <c r="D231" s="1" t="s">
        <v>46</v>
      </c>
      <c r="E231" s="1" t="s">
        <v>459</v>
      </c>
      <c r="F231" s="1" t="s">
        <v>460</v>
      </c>
      <c r="G231" s="1" t="s">
        <v>24</v>
      </c>
      <c r="H231" s="1" t="n">
        <v>2.56</v>
      </c>
      <c r="I231" s="1" t="s">
        <v>297</v>
      </c>
      <c r="J231" s="1" t="s">
        <v>208</v>
      </c>
      <c r="K231" s="1" t="s">
        <v>42</v>
      </c>
      <c r="L231" s="1" t="s">
        <v>28</v>
      </c>
      <c r="M231" s="1" t="s">
        <v>29</v>
      </c>
      <c r="N231" s="1" t="s">
        <v>99</v>
      </c>
      <c r="O231" s="2" t="n">
        <v>1899</v>
      </c>
      <c r="P231" s="2" t="n">
        <f aca="false">O231/H231</f>
        <v>741.796875</v>
      </c>
      <c r="Q231" s="3" t="n">
        <f aca="false">(R231/P231-1)*-1</f>
        <v>0.138578199052133</v>
      </c>
      <c r="R231" s="2" t="n">
        <v>639</v>
      </c>
      <c r="S231" s="2" t="n">
        <f aca="false">R231-10</f>
        <v>629</v>
      </c>
    </row>
    <row r="232" customFormat="false" ht="14" hidden="false" customHeight="false" outlineLevel="0" collapsed="false">
      <c r="A232" s="1" t="s">
        <v>45</v>
      </c>
      <c r="B232" s="1" t="s">
        <v>20</v>
      </c>
      <c r="C232" s="1" t="s">
        <v>21</v>
      </c>
      <c r="D232" s="1" t="s">
        <v>46</v>
      </c>
      <c r="E232" s="1" t="s">
        <v>461</v>
      </c>
      <c r="F232" s="1" t="s">
        <v>462</v>
      </c>
      <c r="G232" s="1" t="s">
        <v>24</v>
      </c>
      <c r="H232" s="1" t="n">
        <v>2.56</v>
      </c>
      <c r="I232" s="1" t="s">
        <v>297</v>
      </c>
      <c r="J232" s="1" t="s">
        <v>208</v>
      </c>
      <c r="K232" s="1" t="s">
        <v>27</v>
      </c>
      <c r="L232" s="1" t="s">
        <v>63</v>
      </c>
      <c r="M232" s="1" t="s">
        <v>209</v>
      </c>
      <c r="N232" s="1" t="s">
        <v>99</v>
      </c>
      <c r="O232" s="2" t="n">
        <v>2449</v>
      </c>
      <c r="P232" s="2" t="n">
        <f aca="false">O232/H232</f>
        <v>956.640625</v>
      </c>
      <c r="Q232" s="3" t="n">
        <f aca="false">(R232/P232-1)*-1</f>
        <v>0.23795835034708</v>
      </c>
      <c r="R232" s="2" t="n">
        <v>729</v>
      </c>
      <c r="S232" s="2" t="n">
        <f aca="false">R232-10</f>
        <v>719</v>
      </c>
    </row>
    <row r="233" customFormat="false" ht="14" hidden="false" customHeight="false" outlineLevel="0" collapsed="false">
      <c r="A233" s="1" t="s">
        <v>45</v>
      </c>
      <c r="B233" s="1" t="s">
        <v>20</v>
      </c>
      <c r="C233" s="1" t="s">
        <v>21</v>
      </c>
      <c r="D233" s="1" t="s">
        <v>46</v>
      </c>
      <c r="E233" s="1" t="s">
        <v>463</v>
      </c>
      <c r="F233" s="1" t="s">
        <v>464</v>
      </c>
      <c r="G233" s="1" t="s">
        <v>24</v>
      </c>
      <c r="H233" s="1" t="n">
        <v>1.44</v>
      </c>
      <c r="I233" s="1" t="s">
        <v>207</v>
      </c>
      <c r="J233" s="1" t="s">
        <v>208</v>
      </c>
      <c r="K233" s="1" t="s">
        <v>27</v>
      </c>
      <c r="L233" s="1" t="s">
        <v>63</v>
      </c>
      <c r="M233" s="1" t="s">
        <v>209</v>
      </c>
      <c r="N233" s="1" t="s">
        <v>99</v>
      </c>
      <c r="O233" s="2" t="n">
        <v>799</v>
      </c>
      <c r="P233" s="2" t="n">
        <f aca="false">O233/H233</f>
        <v>554.861111111111</v>
      </c>
      <c r="Q233" s="3" t="n">
        <f aca="false">(R233/P233-1)*-1</f>
        <v>0.172765957446808</v>
      </c>
      <c r="R233" s="2" t="n">
        <v>459</v>
      </c>
      <c r="S233" s="2" t="n">
        <f aca="false">R233-10</f>
        <v>449</v>
      </c>
    </row>
    <row r="234" customFormat="false" ht="14" hidden="false" customHeight="false" outlineLevel="0" collapsed="false">
      <c r="A234" s="1" t="s">
        <v>45</v>
      </c>
      <c r="B234" s="1" t="s">
        <v>20</v>
      </c>
      <c r="C234" s="1" t="s">
        <v>21</v>
      </c>
      <c r="D234" s="1" t="s">
        <v>46</v>
      </c>
      <c r="E234" s="1" t="s">
        <v>465</v>
      </c>
      <c r="F234" s="1" t="s">
        <v>466</v>
      </c>
      <c r="G234" s="1" t="s">
        <v>24</v>
      </c>
      <c r="H234" s="1" t="n">
        <v>2.56</v>
      </c>
      <c r="I234" s="1" t="s">
        <v>297</v>
      </c>
      <c r="J234" s="1" t="s">
        <v>208</v>
      </c>
      <c r="K234" s="1" t="s">
        <v>42</v>
      </c>
      <c r="L234" s="1" t="s">
        <v>32</v>
      </c>
      <c r="M234" s="1" t="s">
        <v>209</v>
      </c>
      <c r="N234" s="1" t="s">
        <v>99</v>
      </c>
      <c r="O234" s="2" t="n">
        <v>2189</v>
      </c>
      <c r="P234" s="2" t="n">
        <f aca="false">O234/H234</f>
        <v>855.078125</v>
      </c>
      <c r="Q234" s="3" t="n">
        <f aca="false">(R234/P234-1)*-1</f>
        <v>0.182530835998173</v>
      </c>
      <c r="R234" s="2" t="n">
        <v>699</v>
      </c>
      <c r="S234" s="2" t="n">
        <f aca="false">R234-10</f>
        <v>689</v>
      </c>
    </row>
    <row r="235" customFormat="false" ht="14" hidden="false" customHeight="false" outlineLevel="0" collapsed="false">
      <c r="A235" s="1" t="s">
        <v>45</v>
      </c>
      <c r="B235" s="1" t="s">
        <v>20</v>
      </c>
      <c r="C235" s="1" t="s">
        <v>21</v>
      </c>
      <c r="D235" s="1" t="s">
        <v>46</v>
      </c>
      <c r="E235" s="1" t="s">
        <v>467</v>
      </c>
      <c r="F235" s="1" t="s">
        <v>468</v>
      </c>
      <c r="G235" s="1" t="s">
        <v>24</v>
      </c>
      <c r="H235" s="1" t="n">
        <v>2.56</v>
      </c>
      <c r="I235" s="1" t="s">
        <v>297</v>
      </c>
      <c r="J235" s="1" t="s">
        <v>208</v>
      </c>
      <c r="K235" s="1" t="s">
        <v>42</v>
      </c>
      <c r="L235" s="1" t="s">
        <v>74</v>
      </c>
      <c r="M235" s="1" t="s">
        <v>209</v>
      </c>
      <c r="N235" s="1" t="s">
        <v>99</v>
      </c>
      <c r="O235" s="2" t="n">
        <v>2299</v>
      </c>
      <c r="P235" s="2" t="n">
        <f aca="false">O235/H235</f>
        <v>898.046875</v>
      </c>
      <c r="Q235" s="3" t="n">
        <f aca="false">(R235/P235-1)*-1</f>
        <v>0.221644193127447</v>
      </c>
      <c r="R235" s="2" t="n">
        <v>699</v>
      </c>
      <c r="S235" s="2" t="n">
        <f aca="false">R235-10</f>
        <v>689</v>
      </c>
    </row>
    <row r="236" customFormat="false" ht="14" hidden="false" customHeight="false" outlineLevel="0" collapsed="false">
      <c r="A236" s="1" t="s">
        <v>45</v>
      </c>
      <c r="B236" s="1" t="s">
        <v>20</v>
      </c>
      <c r="C236" s="1" t="s">
        <v>21</v>
      </c>
      <c r="D236" s="1" t="s">
        <v>469</v>
      </c>
      <c r="E236" s="1" t="s">
        <v>470</v>
      </c>
      <c r="F236" s="1" t="s">
        <v>471</v>
      </c>
      <c r="G236" s="1" t="s">
        <v>24</v>
      </c>
      <c r="H236" s="1" t="n">
        <v>0.9</v>
      </c>
      <c r="I236" s="1" t="s">
        <v>472</v>
      </c>
      <c r="J236" s="1" t="s">
        <v>26</v>
      </c>
      <c r="K236" s="1" t="s">
        <v>27</v>
      </c>
      <c r="L236" s="1" t="s">
        <v>56</v>
      </c>
      <c r="M236" s="1" t="s">
        <v>29</v>
      </c>
      <c r="N236" s="1" t="s">
        <v>30</v>
      </c>
      <c r="O236" s="2" t="n">
        <v>899</v>
      </c>
      <c r="P236" s="2" t="n">
        <f aca="false">O236/H236</f>
        <v>998.888888888889</v>
      </c>
      <c r="Q236" s="3" t="n">
        <f aca="false">(R236/P236-1)*-1</f>
        <v>0.150055617352614</v>
      </c>
      <c r="R236" s="2" t="n">
        <v>849</v>
      </c>
      <c r="S236" s="2" t="n">
        <f aca="false">R236-10</f>
        <v>839</v>
      </c>
    </row>
    <row r="237" customFormat="false" ht="14" hidden="false" customHeight="false" outlineLevel="0" collapsed="false">
      <c r="A237" s="1" t="s">
        <v>45</v>
      </c>
      <c r="B237" s="1" t="s">
        <v>20</v>
      </c>
      <c r="C237" s="1" t="s">
        <v>21</v>
      </c>
      <c r="D237" s="1" t="s">
        <v>469</v>
      </c>
      <c r="E237" s="1" t="s">
        <v>473</v>
      </c>
      <c r="F237" s="1" t="s">
        <v>474</v>
      </c>
      <c r="G237" s="1" t="s">
        <v>24</v>
      </c>
      <c r="H237" s="1" t="n">
        <v>0.9</v>
      </c>
      <c r="I237" s="1" t="s">
        <v>472</v>
      </c>
      <c r="J237" s="1" t="s">
        <v>26</v>
      </c>
      <c r="K237" s="1" t="s">
        <v>27</v>
      </c>
      <c r="L237" s="1" t="s">
        <v>63</v>
      </c>
      <c r="M237" s="1" t="s">
        <v>29</v>
      </c>
      <c r="N237" s="1" t="s">
        <v>30</v>
      </c>
      <c r="O237" s="2" t="n">
        <v>959</v>
      </c>
      <c r="P237" s="2" t="n">
        <f aca="false">O237/H237</f>
        <v>1065.55555555556</v>
      </c>
      <c r="Q237" s="3" t="n">
        <f aca="false">(R237/P237-1)*-1</f>
        <v>0.165693430656934</v>
      </c>
      <c r="R237" s="2" t="n">
        <v>889</v>
      </c>
      <c r="S237" s="2" t="n">
        <f aca="false">R237-10</f>
        <v>879</v>
      </c>
    </row>
    <row r="238" customFormat="false" ht="14" hidden="false" customHeight="false" outlineLevel="0" collapsed="false">
      <c r="A238" s="1" t="s">
        <v>45</v>
      </c>
      <c r="B238" s="1" t="s">
        <v>20</v>
      </c>
      <c r="C238" s="1" t="s">
        <v>21</v>
      </c>
      <c r="D238" s="1" t="s">
        <v>46</v>
      </c>
      <c r="E238" s="1" t="s">
        <v>475</v>
      </c>
      <c r="F238" s="1" t="s">
        <v>476</v>
      </c>
      <c r="G238" s="1" t="s">
        <v>24</v>
      </c>
      <c r="H238" s="1" t="n">
        <v>1.44</v>
      </c>
      <c r="I238" s="1" t="s">
        <v>207</v>
      </c>
      <c r="J238" s="11" t="s">
        <v>208</v>
      </c>
      <c r="K238" s="11" t="s">
        <v>27</v>
      </c>
      <c r="L238" s="11" t="s">
        <v>477</v>
      </c>
      <c r="M238" s="11" t="s">
        <v>209</v>
      </c>
      <c r="N238" s="11" t="s">
        <v>99</v>
      </c>
      <c r="O238" s="2" t="n">
        <v>499</v>
      </c>
      <c r="P238" s="2" t="n">
        <f aca="false">O238/H238</f>
        <v>346.527777777778</v>
      </c>
      <c r="Q238" s="3" t="n">
        <f aca="false">(R238/P238-1)*-1</f>
        <v>0.137154308617234</v>
      </c>
      <c r="R238" s="2" t="n">
        <v>299</v>
      </c>
      <c r="S238" s="2" t="n">
        <f aca="false">R238-10</f>
        <v>289</v>
      </c>
    </row>
    <row r="239" s="1" customFormat="true" ht="14" hidden="false" customHeight="false" outlineLevel="0" collapsed="false">
      <c r="A239" s="1" t="s">
        <v>45</v>
      </c>
      <c r="B239" s="1" t="s">
        <v>20</v>
      </c>
      <c r="C239" s="1" t="s">
        <v>21</v>
      </c>
      <c r="D239" s="1" t="s">
        <v>46</v>
      </c>
      <c r="E239" s="1" t="s">
        <v>478</v>
      </c>
      <c r="F239" s="1" t="s">
        <v>479</v>
      </c>
      <c r="G239" s="1" t="s">
        <v>24</v>
      </c>
      <c r="H239" s="1" t="n">
        <v>1.44</v>
      </c>
      <c r="I239" s="1" t="s">
        <v>207</v>
      </c>
      <c r="J239" s="11" t="s">
        <v>208</v>
      </c>
      <c r="K239" s="11" t="s">
        <v>27</v>
      </c>
      <c r="L239" s="11" t="s">
        <v>56</v>
      </c>
      <c r="M239" s="11" t="s">
        <v>209</v>
      </c>
      <c r="N239" s="11" t="s">
        <v>99</v>
      </c>
      <c r="O239" s="2" t="n">
        <v>499</v>
      </c>
      <c r="P239" s="2" t="n">
        <f aca="false">O239/H239</f>
        <v>346.527777777778</v>
      </c>
      <c r="Q239" s="3" t="n">
        <f aca="false">(R239/P239-1)*-1</f>
        <v>0.137154308617234</v>
      </c>
      <c r="R239" s="2" t="n">
        <v>299</v>
      </c>
      <c r="S239" s="2" t="n">
        <f aca="false">R239-10</f>
        <v>289</v>
      </c>
    </row>
    <row r="240" customFormat="false" ht="14" hidden="false" customHeight="false" outlineLevel="0" collapsed="false">
      <c r="A240" s="11" t="s">
        <v>92</v>
      </c>
      <c r="B240" s="11" t="s">
        <v>20</v>
      </c>
      <c r="C240" s="11" t="s">
        <v>480</v>
      </c>
      <c r="D240" s="11" t="s">
        <v>481</v>
      </c>
      <c r="E240" s="11" t="s">
        <v>482</v>
      </c>
      <c r="F240" s="11" t="s">
        <v>483</v>
      </c>
      <c r="G240" s="11" t="s">
        <v>24</v>
      </c>
      <c r="H240" s="11" t="n">
        <v>2.13</v>
      </c>
      <c r="I240" s="11" t="s">
        <v>404</v>
      </c>
      <c r="J240" s="11" t="s">
        <v>208</v>
      </c>
      <c r="K240" s="11" t="s">
        <v>27</v>
      </c>
      <c r="L240" s="11" t="s">
        <v>56</v>
      </c>
      <c r="M240" s="11" t="s">
        <v>215</v>
      </c>
      <c r="N240" s="11" t="s">
        <v>99</v>
      </c>
      <c r="O240" s="12" t="n">
        <v>619</v>
      </c>
      <c r="P240" s="2" t="n">
        <f aca="false">O240/H240</f>
        <v>290.610328638498</v>
      </c>
      <c r="Q240" s="3" t="n">
        <f aca="false">(R240/P240-1)*-1</f>
        <v>0.143182552504039</v>
      </c>
      <c r="R240" s="12" t="n">
        <v>249</v>
      </c>
      <c r="S240" s="12" t="n">
        <v>239</v>
      </c>
    </row>
    <row r="241" customFormat="false" ht="16.4" hidden="false" customHeight="false" outlineLevel="0" collapsed="false">
      <c r="A241" s="13" t="s">
        <v>369</v>
      </c>
      <c r="B241" s="11" t="s">
        <v>20</v>
      </c>
      <c r="C241" s="13" t="s">
        <v>480</v>
      </c>
      <c r="D241" s="13" t="s">
        <v>370</v>
      </c>
      <c r="E241" s="13" t="s">
        <v>484</v>
      </c>
      <c r="F241" s="13" t="s">
        <v>485</v>
      </c>
      <c r="G241" s="13" t="s">
        <v>24</v>
      </c>
      <c r="H241" s="13" t="n">
        <v>1.44</v>
      </c>
      <c r="I241" s="14" t="s">
        <v>278</v>
      </c>
      <c r="J241" s="11" t="s">
        <v>208</v>
      </c>
      <c r="K241" s="11" t="s">
        <v>27</v>
      </c>
      <c r="L241" s="11" t="s">
        <v>56</v>
      </c>
      <c r="M241" s="1" t="s">
        <v>209</v>
      </c>
      <c r="N241" s="1" t="s">
        <v>209</v>
      </c>
      <c r="O241" s="2" t="n">
        <v>984.43</v>
      </c>
      <c r="P241" s="2" t="n">
        <f aca="false">O241/H241</f>
        <v>683.631944444445</v>
      </c>
      <c r="Q241" s="3" t="n">
        <f aca="false">(R241/P241-1)*-1</f>
        <v>0.460235872535376</v>
      </c>
      <c r="R241" s="2" t="n">
        <v>369</v>
      </c>
      <c r="S241" s="2" t="n">
        <v>359</v>
      </c>
    </row>
    <row r="242" customFormat="false" ht="16.4" hidden="false" customHeight="false" outlineLevel="0" collapsed="false">
      <c r="A242" s="11" t="s">
        <v>92</v>
      </c>
      <c r="B242" s="11" t="s">
        <v>20</v>
      </c>
      <c r="C242" s="11" t="s">
        <v>480</v>
      </c>
      <c r="D242" s="11" t="s">
        <v>481</v>
      </c>
      <c r="E242" s="11" t="s">
        <v>486</v>
      </c>
      <c r="F242" s="11" t="s">
        <v>487</v>
      </c>
      <c r="G242" s="13" t="s">
        <v>24</v>
      </c>
      <c r="H242" s="11" t="n">
        <v>2.13</v>
      </c>
      <c r="I242" s="11" t="s">
        <v>207</v>
      </c>
      <c r="J242" s="1" t="s">
        <v>26</v>
      </c>
      <c r="K242" s="1" t="s">
        <v>42</v>
      </c>
      <c r="L242" s="1" t="s">
        <v>28</v>
      </c>
      <c r="M242" s="1" t="s">
        <v>29</v>
      </c>
      <c r="N242" s="1" t="s">
        <v>99</v>
      </c>
      <c r="O242" s="12" t="n">
        <v>749</v>
      </c>
      <c r="P242" s="2" t="n">
        <f aca="false">O242/H242</f>
        <v>351.643192488263</v>
      </c>
      <c r="Q242" s="3" t="n">
        <f aca="false">(R242/P242-1)*-1</f>
        <v>0.178144192256342</v>
      </c>
      <c r="R242" s="12" t="n">
        <v>289</v>
      </c>
      <c r="S242" s="12" t="n">
        <v>279</v>
      </c>
    </row>
    <row r="243" customFormat="false" ht="16.4" hidden="false" customHeight="false" outlineLevel="0" collapsed="false">
      <c r="A243" s="11" t="s">
        <v>92</v>
      </c>
      <c r="B243" s="11" t="s">
        <v>20</v>
      </c>
      <c r="C243" s="11" t="s">
        <v>480</v>
      </c>
      <c r="D243" s="11" t="s">
        <v>481</v>
      </c>
      <c r="E243" s="11" t="s">
        <v>488</v>
      </c>
      <c r="F243" s="11" t="s">
        <v>489</v>
      </c>
      <c r="G243" s="13" t="s">
        <v>24</v>
      </c>
      <c r="H243" s="11" t="n">
        <v>2.13</v>
      </c>
      <c r="I243" s="11" t="s">
        <v>207</v>
      </c>
      <c r="J243" s="1" t="s">
        <v>26</v>
      </c>
      <c r="K243" s="1" t="s">
        <v>195</v>
      </c>
      <c r="L243" s="1" t="s">
        <v>131</v>
      </c>
      <c r="M243" s="1" t="s">
        <v>98</v>
      </c>
      <c r="N243" s="1" t="s">
        <v>99</v>
      </c>
      <c r="O243" s="12" t="n">
        <v>749</v>
      </c>
      <c r="P243" s="2" t="n">
        <f aca="false">O243/H243</f>
        <v>351.643192488263</v>
      </c>
      <c r="Q243" s="3" t="n">
        <f aca="false">(R243/P243-1)*-1</f>
        <v>0.178144192256342</v>
      </c>
      <c r="R243" s="12" t="n">
        <v>289</v>
      </c>
      <c r="S243" s="12" t="n">
        <v>279</v>
      </c>
    </row>
    <row r="244" customFormat="false" ht="16.4" hidden="false" customHeight="false" outlineLevel="0" collapsed="false">
      <c r="A244" s="11" t="s">
        <v>92</v>
      </c>
      <c r="B244" s="11" t="s">
        <v>20</v>
      </c>
      <c r="C244" s="11" t="s">
        <v>480</v>
      </c>
      <c r="D244" s="11" t="s">
        <v>481</v>
      </c>
      <c r="E244" s="11" t="s">
        <v>490</v>
      </c>
      <c r="F244" s="11" t="s">
        <v>491</v>
      </c>
      <c r="G244" s="13" t="s">
        <v>24</v>
      </c>
      <c r="H244" s="11" t="n">
        <v>2.13</v>
      </c>
      <c r="I244" s="11" t="s">
        <v>207</v>
      </c>
      <c r="J244" s="1" t="s">
        <v>26</v>
      </c>
      <c r="K244" s="1" t="s">
        <v>27</v>
      </c>
      <c r="L244" s="1" t="s">
        <v>97</v>
      </c>
      <c r="M244" s="1" t="s">
        <v>98</v>
      </c>
      <c r="N244" s="1" t="s">
        <v>99</v>
      </c>
      <c r="O244" s="12" t="n">
        <v>769</v>
      </c>
      <c r="P244" s="2" t="n">
        <f aca="false">O244/H244</f>
        <v>361.032863849765</v>
      </c>
      <c r="Q244" s="3" t="n">
        <f aca="false">(R244/P244-1)*-1</f>
        <v>0.199518855656697</v>
      </c>
      <c r="R244" s="12" t="n">
        <v>289</v>
      </c>
      <c r="S244" s="12" t="n">
        <v>279</v>
      </c>
    </row>
    <row r="245" customFormat="false" ht="16.4" hidden="false" customHeight="false" outlineLevel="0" collapsed="false">
      <c r="A245" s="11" t="s">
        <v>92</v>
      </c>
      <c r="B245" s="11" t="s">
        <v>20</v>
      </c>
      <c r="C245" s="11" t="s">
        <v>480</v>
      </c>
      <c r="D245" s="11" t="s">
        <v>481</v>
      </c>
      <c r="E245" s="11" t="s">
        <v>492</v>
      </c>
      <c r="F245" s="11" t="s">
        <v>493</v>
      </c>
      <c r="G245" s="13" t="s">
        <v>24</v>
      </c>
      <c r="H245" s="11" t="n">
        <v>2.13</v>
      </c>
      <c r="I245" s="11" t="s">
        <v>207</v>
      </c>
      <c r="J245" s="1" t="s">
        <v>26</v>
      </c>
      <c r="K245" s="1" t="s">
        <v>42</v>
      </c>
      <c r="L245" s="1" t="s">
        <v>349</v>
      </c>
      <c r="M245" s="1" t="s">
        <v>29</v>
      </c>
      <c r="N245" s="1" t="s">
        <v>99</v>
      </c>
      <c r="O245" s="12" t="n">
        <v>719</v>
      </c>
      <c r="P245" s="2" t="n">
        <f aca="false">O245/H245</f>
        <v>337.558685446009</v>
      </c>
      <c r="Q245" s="3" t="n">
        <f aca="false">(R245/P245-1)*-1</f>
        <v>0.143852573018081</v>
      </c>
      <c r="R245" s="12" t="n">
        <v>289</v>
      </c>
      <c r="S245" s="12" t="n">
        <v>249</v>
      </c>
    </row>
    <row r="246" customFormat="false" ht="16.4" hidden="false" customHeight="false" outlineLevel="0" collapsed="false">
      <c r="A246" s="11" t="s">
        <v>92</v>
      </c>
      <c r="B246" s="11" t="s">
        <v>20</v>
      </c>
      <c r="C246" s="11" t="s">
        <v>480</v>
      </c>
      <c r="D246" s="11" t="s">
        <v>481</v>
      </c>
      <c r="E246" s="11" t="s">
        <v>494</v>
      </c>
      <c r="F246" s="11" t="s">
        <v>495</v>
      </c>
      <c r="G246" s="13" t="s">
        <v>24</v>
      </c>
      <c r="H246" s="11" t="n">
        <v>2.13</v>
      </c>
      <c r="I246" s="11" t="s">
        <v>207</v>
      </c>
      <c r="J246" s="1" t="s">
        <v>26</v>
      </c>
      <c r="K246" s="1" t="s">
        <v>42</v>
      </c>
      <c r="L246" s="1" t="s">
        <v>349</v>
      </c>
      <c r="M246" s="1" t="s">
        <v>29</v>
      </c>
      <c r="N246" s="1" t="s">
        <v>99</v>
      </c>
      <c r="O246" s="12" t="n">
        <v>719</v>
      </c>
      <c r="P246" s="2" t="n">
        <f aca="false">O246/H246</f>
        <v>337.558685446009</v>
      </c>
      <c r="Q246" s="3" t="n">
        <f aca="false">(R246/P246-1)*-1</f>
        <v>0.143852573018081</v>
      </c>
      <c r="R246" s="12" t="n">
        <v>289</v>
      </c>
      <c r="S246" s="12" t="n">
        <v>259</v>
      </c>
    </row>
    <row r="247" customFormat="false" ht="16.4" hidden="false" customHeight="false" outlineLevel="0" collapsed="false">
      <c r="A247" s="11" t="s">
        <v>92</v>
      </c>
      <c r="B247" s="11" t="s">
        <v>20</v>
      </c>
      <c r="C247" s="11" t="s">
        <v>480</v>
      </c>
      <c r="D247" s="11" t="s">
        <v>481</v>
      </c>
      <c r="E247" s="11" t="s">
        <v>496</v>
      </c>
      <c r="F247" s="11" t="s">
        <v>497</v>
      </c>
      <c r="G247" s="13" t="s">
        <v>24</v>
      </c>
      <c r="H247" s="11" t="n">
        <v>2.13</v>
      </c>
      <c r="I247" s="11" t="s">
        <v>207</v>
      </c>
      <c r="J247" s="1" t="s">
        <v>26</v>
      </c>
      <c r="K247" s="1" t="s">
        <v>42</v>
      </c>
      <c r="L247" s="1" t="s">
        <v>32</v>
      </c>
      <c r="M247" s="1" t="s">
        <v>29</v>
      </c>
      <c r="N247" s="1" t="s">
        <v>99</v>
      </c>
      <c r="O247" s="12" t="n">
        <v>749</v>
      </c>
      <c r="P247" s="2" t="n">
        <f aca="false">O247/H247</f>
        <v>351.643192488263</v>
      </c>
      <c r="Q247" s="3" t="n">
        <f aca="false">(R247/P247-1)*-1</f>
        <v>0.206582109479306</v>
      </c>
      <c r="R247" s="12" t="n">
        <v>279</v>
      </c>
      <c r="S247" s="12" t="n">
        <v>269</v>
      </c>
    </row>
    <row r="248" customFormat="false" ht="16.4" hidden="false" customHeight="false" outlineLevel="0" collapsed="false">
      <c r="A248" s="11" t="s">
        <v>92</v>
      </c>
      <c r="B248" s="11" t="s">
        <v>20</v>
      </c>
      <c r="C248" s="11" t="s">
        <v>480</v>
      </c>
      <c r="D248" s="11" t="s">
        <v>481</v>
      </c>
      <c r="E248" s="11" t="s">
        <v>498</v>
      </c>
      <c r="F248" s="11" t="s">
        <v>499</v>
      </c>
      <c r="G248" s="13" t="s">
        <v>24</v>
      </c>
      <c r="H248" s="11" t="n">
        <v>2.13</v>
      </c>
      <c r="I248" s="11" t="s">
        <v>207</v>
      </c>
      <c r="J248" s="1" t="s">
        <v>26</v>
      </c>
      <c r="K248" s="1" t="s">
        <v>42</v>
      </c>
      <c r="L248" s="1" t="s">
        <v>131</v>
      </c>
      <c r="M248" s="1" t="s">
        <v>29</v>
      </c>
      <c r="N248" s="1" t="s">
        <v>99</v>
      </c>
      <c r="O248" s="12" t="n">
        <v>749</v>
      </c>
      <c r="P248" s="2" t="n">
        <f aca="false">O248/H248</f>
        <v>351.643192488263</v>
      </c>
      <c r="Q248" s="3" t="n">
        <f aca="false">(R248/P248-1)*-1</f>
        <v>0.291895861148198</v>
      </c>
      <c r="R248" s="12" t="n">
        <v>249</v>
      </c>
      <c r="S248" s="12" t="n">
        <v>249</v>
      </c>
    </row>
    <row r="249" s="1" customFormat="true" ht="14" hidden="false" customHeight="false" outlineLevel="0" collapsed="false">
      <c r="A249" s="1" t="s">
        <v>19</v>
      </c>
      <c r="B249" s="1" t="s">
        <v>500</v>
      </c>
      <c r="C249" s="1" t="s">
        <v>21</v>
      </c>
      <c r="D249" s="1" t="s">
        <v>22</v>
      </c>
      <c r="E249" s="10" t="n">
        <v>521499425178901</v>
      </c>
      <c r="F249" s="1" t="s">
        <v>501</v>
      </c>
      <c r="G249" s="1" t="s">
        <v>24</v>
      </c>
      <c r="H249" s="1" t="n">
        <v>1.78</v>
      </c>
      <c r="I249" s="1" t="s">
        <v>41</v>
      </c>
      <c r="J249" s="1" t="s">
        <v>26</v>
      </c>
      <c r="K249" s="1" t="s">
        <v>27</v>
      </c>
      <c r="L249" s="1" t="s">
        <v>56</v>
      </c>
      <c r="M249" s="1" t="s">
        <v>502</v>
      </c>
      <c r="N249" s="1" t="s">
        <v>30</v>
      </c>
      <c r="O249" s="2" t="n">
        <v>339</v>
      </c>
      <c r="P249" s="2" t="n">
        <f aca="false">O249/H249</f>
        <v>190.449438202247</v>
      </c>
      <c r="Q249" s="3" t="n">
        <f aca="false">(R249/P249-1)*-1</f>
        <v>0.291150442477876</v>
      </c>
      <c r="R249" s="2" t="n">
        <v>135</v>
      </c>
      <c r="S249" s="2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1" width="14.3"/>
    <col collapsed="false" customWidth="true" hidden="false" outlineLevel="0" max="3" min="3" style="1" width="53.26"/>
    <col collapsed="false" customWidth="true" hidden="false" outlineLevel="0" max="5" min="4" style="1" width="11.52"/>
    <col collapsed="false" customWidth="true" hidden="false" outlineLevel="0" max="6" min="6" style="15" width="11.52"/>
    <col collapsed="false" customWidth="true" hidden="false" outlineLevel="0" max="7" min="7" style="1" width="11.52"/>
    <col collapsed="false" customWidth="true" hidden="false" outlineLevel="0" max="8" min="8" style="16" width="11.52"/>
    <col collapsed="false" customWidth="true" hidden="false" outlineLevel="0" max="10" min="9" style="15" width="11.52"/>
    <col collapsed="false" customWidth="true" hidden="false" outlineLevel="0" max="11" min="11" style="11" width="40.54"/>
    <col collapsed="false" customWidth="true" hidden="false" outlineLevel="0" max="2048" min="12" style="0" width="10.86"/>
  </cols>
  <sheetData>
    <row r="1" s="20" customFormat="true" ht="61.15" hidden="false" customHeight="false" outlineLevel="0" collapsed="false">
      <c r="A1" s="4" t="s">
        <v>0</v>
      </c>
      <c r="B1" s="4" t="s">
        <v>4</v>
      </c>
      <c r="C1" s="4" t="s">
        <v>5</v>
      </c>
      <c r="D1" s="4" t="s">
        <v>7</v>
      </c>
      <c r="E1" s="4" t="s">
        <v>8</v>
      </c>
      <c r="F1" s="17" t="s">
        <v>14</v>
      </c>
      <c r="G1" s="17" t="s">
        <v>15</v>
      </c>
      <c r="H1" s="18" t="s">
        <v>16</v>
      </c>
      <c r="I1" s="17" t="s">
        <v>17</v>
      </c>
      <c r="J1" s="19" t="s">
        <v>18</v>
      </c>
      <c r="K1" s="19" t="s">
        <v>503</v>
      </c>
    </row>
    <row r="2" customFormat="false" ht="15" hidden="false" customHeight="false" outlineLevel="0" collapsed="false">
      <c r="A2" s="1" t="s">
        <v>504</v>
      </c>
      <c r="B2" s="1" t="s">
        <v>505</v>
      </c>
      <c r="C2" s="1" t="s">
        <v>506</v>
      </c>
      <c r="D2" s="1" t="n">
        <v>1</v>
      </c>
      <c r="E2" s="1" t="s">
        <v>507</v>
      </c>
      <c r="F2" s="15" t="n">
        <v>579</v>
      </c>
      <c r="G2" s="15" t="n">
        <f aca="false">F2/D2</f>
        <v>579</v>
      </c>
      <c r="H2" s="16" t="n">
        <f aca="false">(I2/G2-1)*-1</f>
        <v>0.0690846286701209</v>
      </c>
      <c r="I2" s="15" t="n">
        <v>539</v>
      </c>
    </row>
    <row r="3" customFormat="false" ht="15" hidden="false" customHeight="false" outlineLevel="0" collapsed="false">
      <c r="A3" s="1" t="s">
        <v>504</v>
      </c>
      <c r="B3" s="1" t="s">
        <v>508</v>
      </c>
      <c r="C3" s="1" t="s">
        <v>509</v>
      </c>
      <c r="D3" s="1" t="n">
        <v>1</v>
      </c>
      <c r="E3" s="1" t="s">
        <v>507</v>
      </c>
      <c r="F3" s="15" t="n">
        <v>579</v>
      </c>
      <c r="G3" s="15" t="n">
        <f aca="false">F3/D3</f>
        <v>579</v>
      </c>
      <c r="H3" s="16" t="n">
        <f aca="false">(I3/G3-1)*-1</f>
        <v>0.0690846286701209</v>
      </c>
      <c r="I3" s="15" t="n">
        <v>539</v>
      </c>
    </row>
    <row r="4" customFormat="false" ht="15" hidden="false" customHeight="false" outlineLevel="0" collapsed="false">
      <c r="A4" s="1" t="s">
        <v>504</v>
      </c>
      <c r="B4" s="1" t="s">
        <v>510</v>
      </c>
      <c r="C4" s="1" t="s">
        <v>511</v>
      </c>
      <c r="D4" s="1" t="n">
        <v>1</v>
      </c>
      <c r="E4" s="1" t="s">
        <v>507</v>
      </c>
      <c r="F4" s="15" t="n">
        <v>579</v>
      </c>
      <c r="G4" s="15" t="n">
        <f aca="false">F4/D4</f>
        <v>579</v>
      </c>
      <c r="H4" s="16" t="n">
        <f aca="false">(I4/G4-1)*-1</f>
        <v>0.0690846286701209</v>
      </c>
      <c r="I4" s="15" t="n">
        <v>539</v>
      </c>
    </row>
    <row r="5" customFormat="false" ht="15" hidden="false" customHeight="false" outlineLevel="0" collapsed="false">
      <c r="A5" s="1" t="s">
        <v>504</v>
      </c>
      <c r="B5" s="1" t="s">
        <v>512</v>
      </c>
      <c r="C5" s="1" t="s">
        <v>513</v>
      </c>
      <c r="D5" s="1" t="n">
        <v>1</v>
      </c>
      <c r="E5" s="1" t="s">
        <v>507</v>
      </c>
      <c r="F5" s="15" t="n">
        <v>579</v>
      </c>
      <c r="G5" s="15" t="n">
        <f aca="false">F5/D5</f>
        <v>579</v>
      </c>
      <c r="H5" s="16" t="n">
        <f aca="false">(I5/G5-1)*-1</f>
        <v>0.0690846286701209</v>
      </c>
      <c r="I5" s="15" t="n">
        <v>539</v>
      </c>
    </row>
    <row r="6" customFormat="false" ht="15" hidden="false" customHeight="false" outlineLevel="0" collapsed="false">
      <c r="A6" s="1" t="s">
        <v>504</v>
      </c>
      <c r="B6" s="1" t="s">
        <v>514</v>
      </c>
      <c r="C6" s="1" t="s">
        <v>515</v>
      </c>
      <c r="D6" s="1" t="n">
        <v>2.88</v>
      </c>
      <c r="E6" s="1" t="s">
        <v>516</v>
      </c>
      <c r="F6" s="15" t="n">
        <v>2327</v>
      </c>
      <c r="G6" s="15" t="n">
        <f aca="false">F6/D6</f>
        <v>807.986111111111</v>
      </c>
      <c r="H6" s="16" t="n">
        <f aca="false">(I6/G6-1)*-1</f>
        <v>0.271027073485174</v>
      </c>
      <c r="I6" s="15" t="n">
        <v>589</v>
      </c>
    </row>
    <row r="7" customFormat="false" ht="15" hidden="false" customHeight="false" outlineLevel="0" collapsed="false">
      <c r="A7" s="1" t="s">
        <v>504</v>
      </c>
      <c r="B7" s="1" t="s">
        <v>517</v>
      </c>
      <c r="C7" s="1" t="s">
        <v>518</v>
      </c>
      <c r="D7" s="1" t="n">
        <v>2.88</v>
      </c>
      <c r="E7" s="1" t="s">
        <v>519</v>
      </c>
      <c r="F7" s="15" t="n">
        <v>3308.69</v>
      </c>
      <c r="G7" s="15" t="n">
        <f aca="false">F7/D7</f>
        <v>1148.85069444444</v>
      </c>
      <c r="H7" s="16" t="n">
        <f aca="false">(I7/G7-1)*-1</f>
        <v>0.130435308233772</v>
      </c>
      <c r="I7" s="15" t="n">
        <v>999</v>
      </c>
    </row>
    <row r="8" customFormat="false" ht="15" hidden="false" customHeight="false" outlineLevel="0" collapsed="false">
      <c r="A8" s="1" t="s">
        <v>504</v>
      </c>
      <c r="B8" s="1" t="s">
        <v>520</v>
      </c>
      <c r="C8" s="1" t="s">
        <v>521</v>
      </c>
      <c r="D8" s="1" t="n">
        <v>2.88</v>
      </c>
      <c r="E8" s="1" t="s">
        <v>519</v>
      </c>
      <c r="F8" s="15" t="n">
        <v>3308.69</v>
      </c>
      <c r="G8" s="15" t="n">
        <f aca="false">F8/D8</f>
        <v>1148.85069444444</v>
      </c>
      <c r="H8" s="16" t="n">
        <f aca="false">(I8/G8-1)*-1</f>
        <v>0.130435308233772</v>
      </c>
      <c r="I8" s="15" t="n">
        <v>999</v>
      </c>
    </row>
    <row r="9" customFormat="false" ht="15" hidden="false" customHeight="false" outlineLevel="0" collapsed="false">
      <c r="A9" s="1" t="s">
        <v>504</v>
      </c>
      <c r="B9" s="1" t="s">
        <v>522</v>
      </c>
      <c r="C9" s="1" t="s">
        <v>523</v>
      </c>
      <c r="D9" s="1" t="n">
        <v>2.88</v>
      </c>
      <c r="E9" s="1" t="s">
        <v>519</v>
      </c>
      <c r="F9" s="15" t="n">
        <v>3308.69</v>
      </c>
      <c r="G9" s="15" t="n">
        <f aca="false">F9/D9</f>
        <v>1148.85069444444</v>
      </c>
      <c r="H9" s="16" t="n">
        <f aca="false">(I9/G9-1)*-1</f>
        <v>0.130435308233772</v>
      </c>
      <c r="I9" s="15" t="n">
        <v>999</v>
      </c>
      <c r="J9" s="15" t="n">
        <v>499</v>
      </c>
      <c r="K9" s="11" t="s">
        <v>524</v>
      </c>
    </row>
    <row r="10" customFormat="false" ht="15" hidden="false" customHeight="false" outlineLevel="0" collapsed="false">
      <c r="A10" s="1" t="s">
        <v>504</v>
      </c>
      <c r="B10" s="1" t="s">
        <v>525</v>
      </c>
      <c r="C10" s="1" t="s">
        <v>526</v>
      </c>
      <c r="D10" s="1" t="n">
        <v>2.88</v>
      </c>
      <c r="E10" s="1" t="s">
        <v>519</v>
      </c>
      <c r="F10" s="15" t="n">
        <v>4277</v>
      </c>
      <c r="G10" s="15" t="n">
        <f aca="false">F10/D10</f>
        <v>1485.06944444444</v>
      </c>
      <c r="H10" s="16" t="n">
        <f aca="false">(I10/G10-1)*-1</f>
        <v>0.300369417816226</v>
      </c>
      <c r="I10" s="15" t="n">
        <v>1039</v>
      </c>
    </row>
    <row r="11" customFormat="false" ht="15" hidden="false" customHeight="false" outlineLevel="0" collapsed="false">
      <c r="A11" s="1" t="s">
        <v>504</v>
      </c>
      <c r="B11" s="1" t="s">
        <v>527</v>
      </c>
      <c r="C11" s="1" t="s">
        <v>528</v>
      </c>
      <c r="D11" s="1" t="n">
        <v>2.88</v>
      </c>
      <c r="E11" s="1" t="s">
        <v>519</v>
      </c>
      <c r="F11" s="15" t="n">
        <v>4277</v>
      </c>
      <c r="G11" s="15" t="n">
        <f aca="false">F11/D11</f>
        <v>1485.06944444444</v>
      </c>
      <c r="H11" s="16" t="n">
        <f aca="false">(I11/G11-1)*-1</f>
        <v>0.300369417816226</v>
      </c>
      <c r="I11" s="15" t="n">
        <v>1039</v>
      </c>
    </row>
    <row r="12" customFormat="false" ht="15" hidden="false" customHeight="false" outlineLevel="0" collapsed="false">
      <c r="A12" s="1" t="s">
        <v>504</v>
      </c>
      <c r="B12" s="1" t="s">
        <v>529</v>
      </c>
      <c r="C12" s="1" t="s">
        <v>530</v>
      </c>
      <c r="D12" s="1" t="n">
        <v>2.88</v>
      </c>
      <c r="E12" s="1" t="s">
        <v>519</v>
      </c>
      <c r="F12" s="15" t="n">
        <v>4277</v>
      </c>
      <c r="G12" s="15" t="n">
        <f aca="false">F12/D12</f>
        <v>1485.06944444444</v>
      </c>
      <c r="H12" s="16" t="n">
        <f aca="false">(I12/G12-1)*-1</f>
        <v>0.300369417816226</v>
      </c>
      <c r="I12" s="15" t="n">
        <v>1039</v>
      </c>
    </row>
    <row r="13" customFormat="false" ht="15" hidden="false" customHeight="false" outlineLevel="0" collapsed="false">
      <c r="A13" s="1" t="s">
        <v>504</v>
      </c>
      <c r="B13" s="1" t="s">
        <v>531</v>
      </c>
      <c r="C13" s="1" t="s">
        <v>532</v>
      </c>
      <c r="D13" s="1" t="n">
        <v>2.88</v>
      </c>
      <c r="E13" s="1" t="s">
        <v>519</v>
      </c>
      <c r="F13" s="15" t="n">
        <v>4277</v>
      </c>
      <c r="G13" s="15" t="n">
        <f aca="false">F13/D13</f>
        <v>1485.06944444444</v>
      </c>
      <c r="H13" s="16" t="n">
        <f aca="false">(I13/G13-1)*-1</f>
        <v>0.300369417816226</v>
      </c>
      <c r="I13" s="15" t="n">
        <v>1039</v>
      </c>
      <c r="J13" s="15" t="n">
        <v>499</v>
      </c>
      <c r="K13" s="11" t="s">
        <v>524</v>
      </c>
    </row>
    <row r="14" customFormat="false" ht="15" hidden="false" customHeight="false" outlineLevel="0" collapsed="false">
      <c r="A14" s="1" t="s">
        <v>504</v>
      </c>
      <c r="B14" s="1" t="s">
        <v>533</v>
      </c>
      <c r="C14" s="1" t="s">
        <v>534</v>
      </c>
      <c r="D14" s="1" t="n">
        <v>1.2</v>
      </c>
      <c r="E14" s="1" t="s">
        <v>288</v>
      </c>
      <c r="F14" s="15" t="n">
        <v>1299</v>
      </c>
      <c r="G14" s="15" t="n">
        <f aca="false">F14/D14</f>
        <v>1082.5</v>
      </c>
      <c r="H14" s="16" t="n">
        <f aca="false">(I14/G14-1)*-1</f>
        <v>0.742263279445728</v>
      </c>
      <c r="I14" s="15" t="n">
        <v>279</v>
      </c>
      <c r="J14" s="15" t="n">
        <v>269</v>
      </c>
    </row>
    <row r="15" customFormat="false" ht="15" hidden="false" customHeight="false" outlineLevel="0" collapsed="false">
      <c r="A15" s="1" t="s">
        <v>504</v>
      </c>
      <c r="B15" s="1" t="s">
        <v>535</v>
      </c>
      <c r="C15" s="1" t="s">
        <v>536</v>
      </c>
      <c r="D15" s="1" t="n">
        <v>1.2</v>
      </c>
      <c r="E15" s="1" t="s">
        <v>288</v>
      </c>
      <c r="F15" s="15" t="n">
        <v>729</v>
      </c>
      <c r="G15" s="15" t="n">
        <f aca="false">F15/D15</f>
        <v>607.5</v>
      </c>
      <c r="H15" s="16" t="n">
        <f aca="false">(I15/G15-1)*-1</f>
        <v>0.178600823045267</v>
      </c>
      <c r="I15" s="15" t="n">
        <v>499</v>
      </c>
      <c r="J15" s="15" t="n">
        <v>489</v>
      </c>
    </row>
    <row r="16" customFormat="false" ht="15" hidden="false" customHeight="false" outlineLevel="0" collapsed="false">
      <c r="A16" s="1" t="s">
        <v>504</v>
      </c>
      <c r="B16" s="1" t="s">
        <v>537</v>
      </c>
      <c r="C16" s="1" t="s">
        <v>538</v>
      </c>
      <c r="D16" s="1" t="n">
        <v>1.2</v>
      </c>
      <c r="E16" s="1" t="s">
        <v>288</v>
      </c>
      <c r="F16" s="15" t="n">
        <v>1299</v>
      </c>
      <c r="G16" s="15" t="n">
        <f aca="false">F16/D16</f>
        <v>1082.5</v>
      </c>
      <c r="H16" s="16" t="n">
        <f aca="false">(I16/G16-1)*-1</f>
        <v>0.539030023094688</v>
      </c>
      <c r="I16" s="15" t="n">
        <v>499</v>
      </c>
      <c r="J16" s="15" t="n">
        <v>489</v>
      </c>
    </row>
    <row r="17" customFormat="false" ht="15" hidden="false" customHeight="false" outlineLevel="0" collapsed="false">
      <c r="A17" s="1" t="s">
        <v>504</v>
      </c>
      <c r="B17" s="1" t="s">
        <v>539</v>
      </c>
      <c r="C17" s="1" t="s">
        <v>540</v>
      </c>
      <c r="D17" s="1" t="n">
        <v>1.2</v>
      </c>
      <c r="E17" s="1" t="s">
        <v>288</v>
      </c>
      <c r="F17" s="15" t="n">
        <v>1299</v>
      </c>
      <c r="G17" s="15" t="n">
        <f aca="false">F17/D17</f>
        <v>1082.5</v>
      </c>
      <c r="H17" s="16" t="n">
        <f aca="false">(I17/G17-1)*-1</f>
        <v>0.539030023094688</v>
      </c>
      <c r="I17" s="15" t="n">
        <v>499</v>
      </c>
      <c r="J17" s="15" t="n">
        <v>489</v>
      </c>
    </row>
    <row r="18" customFormat="false" ht="15" hidden="false" customHeight="false" outlineLevel="0" collapsed="false">
      <c r="A18" s="1" t="s">
        <v>504</v>
      </c>
      <c r="B18" s="1" t="s">
        <v>541</v>
      </c>
      <c r="C18" s="1" t="s">
        <v>542</v>
      </c>
      <c r="D18" s="1" t="n">
        <v>1.2</v>
      </c>
      <c r="E18" s="1" t="s">
        <v>288</v>
      </c>
      <c r="F18" s="15" t="n">
        <v>729</v>
      </c>
      <c r="G18" s="15" t="n">
        <f aca="false">F18/D18</f>
        <v>607.5</v>
      </c>
      <c r="H18" s="16" t="n">
        <f aca="false">(I18/G18-1)*-1</f>
        <v>0.178600823045267</v>
      </c>
      <c r="I18" s="15" t="n">
        <v>499</v>
      </c>
      <c r="J18" s="15" t="n">
        <v>489</v>
      </c>
    </row>
    <row r="19" customFormat="false" ht="15" hidden="false" customHeight="false" outlineLevel="0" collapsed="false">
      <c r="A19" s="1" t="s">
        <v>504</v>
      </c>
      <c r="B19" s="1" t="s">
        <v>543</v>
      </c>
      <c r="C19" s="1" t="s">
        <v>544</v>
      </c>
      <c r="D19" s="1" t="n">
        <v>1.2</v>
      </c>
      <c r="E19" s="1" t="s">
        <v>288</v>
      </c>
      <c r="F19" s="15" t="n">
        <v>729</v>
      </c>
      <c r="G19" s="15" t="n">
        <f aca="false">F19/D19</f>
        <v>607.5</v>
      </c>
      <c r="H19" s="16" t="n">
        <f aca="false">(I19/G19-1)*-1</f>
        <v>0.178600823045267</v>
      </c>
      <c r="I19" s="15" t="n">
        <v>499</v>
      </c>
      <c r="J19" s="15" t="n">
        <v>249</v>
      </c>
      <c r="K19" s="11" t="s">
        <v>524</v>
      </c>
    </row>
    <row r="20" customFormat="false" ht="15" hidden="false" customHeight="false" outlineLevel="0" collapsed="false">
      <c r="A20" s="1" t="s">
        <v>504</v>
      </c>
      <c r="B20" s="1" t="s">
        <v>545</v>
      </c>
      <c r="C20" s="1" t="s">
        <v>546</v>
      </c>
      <c r="D20" s="1" t="n">
        <v>1</v>
      </c>
      <c r="E20" s="1" t="s">
        <v>547</v>
      </c>
      <c r="F20" s="15" t="n">
        <v>319</v>
      </c>
      <c r="G20" s="15" t="n">
        <f aca="false">F20/D20</f>
        <v>319</v>
      </c>
      <c r="H20" s="16" t="n">
        <f aca="false">(I20/G20-1)*-1</f>
        <v>0.25</v>
      </c>
      <c r="I20" s="15" t="n">
        <v>239.25</v>
      </c>
    </row>
    <row r="21" customFormat="false" ht="15" hidden="false" customHeight="false" outlineLevel="0" collapsed="false">
      <c r="A21" s="1" t="s">
        <v>504</v>
      </c>
      <c r="B21" s="1" t="s">
        <v>548</v>
      </c>
      <c r="C21" s="1" t="s">
        <v>549</v>
      </c>
      <c r="D21" s="1" t="n">
        <v>1</v>
      </c>
      <c r="E21" s="1" t="s">
        <v>547</v>
      </c>
      <c r="F21" s="15" t="n">
        <v>372</v>
      </c>
      <c r="G21" s="15" t="n">
        <f aca="false">F21/D21</f>
        <v>372</v>
      </c>
      <c r="H21" s="16" t="n">
        <f aca="false">(I21/G21-1)*-1</f>
        <v>0.25</v>
      </c>
      <c r="I21" s="15" t="n">
        <v>279</v>
      </c>
    </row>
    <row r="22" customFormat="false" ht="15" hidden="false" customHeight="false" outlineLevel="0" collapsed="false">
      <c r="A22" s="1" t="s">
        <v>504</v>
      </c>
      <c r="B22" s="1" t="s">
        <v>550</v>
      </c>
      <c r="C22" s="1" t="s">
        <v>551</v>
      </c>
      <c r="D22" s="1" t="n">
        <v>1</v>
      </c>
      <c r="E22" s="1" t="s">
        <v>547</v>
      </c>
      <c r="F22" s="15" t="n">
        <v>1059</v>
      </c>
      <c r="G22" s="15" t="n">
        <f aca="false">F22/D22</f>
        <v>1059</v>
      </c>
      <c r="H22" s="16" t="n">
        <f aca="false">(I22/G22-1)*-1</f>
        <v>0.25</v>
      </c>
      <c r="I22" s="15" t="n">
        <v>794.25</v>
      </c>
    </row>
    <row r="23" customFormat="false" ht="15" hidden="false" customHeight="false" outlineLevel="0" collapsed="false">
      <c r="A23" s="1" t="s">
        <v>504</v>
      </c>
      <c r="B23" s="1" t="s">
        <v>552</v>
      </c>
      <c r="C23" s="1" t="s">
        <v>553</v>
      </c>
      <c r="D23" s="1" t="n">
        <v>1</v>
      </c>
      <c r="E23" s="1" t="s">
        <v>547</v>
      </c>
      <c r="F23" s="15" t="n">
        <v>1059</v>
      </c>
      <c r="G23" s="15" t="n">
        <f aca="false">F23/D23</f>
        <v>1059</v>
      </c>
      <c r="H23" s="16" t="n">
        <f aca="false">(I23/G23-1)*-1</f>
        <v>0.25</v>
      </c>
      <c r="I23" s="15" t="n">
        <v>794.25</v>
      </c>
    </row>
    <row r="24" customFormat="false" ht="15" hidden="false" customHeight="false" outlineLevel="0" collapsed="false">
      <c r="A24" s="1" t="s">
        <v>504</v>
      </c>
      <c r="B24" s="1" t="s">
        <v>554</v>
      </c>
      <c r="C24" s="1" t="s">
        <v>555</v>
      </c>
      <c r="D24" s="1" t="n">
        <v>1</v>
      </c>
      <c r="E24" s="1" t="s">
        <v>547</v>
      </c>
      <c r="F24" s="15" t="n">
        <v>1059</v>
      </c>
      <c r="G24" s="15" t="n">
        <f aca="false">F24/D24</f>
        <v>1059</v>
      </c>
      <c r="H24" s="16" t="n">
        <f aca="false">(I24/G24-1)*-1</f>
        <v>0.25</v>
      </c>
      <c r="I24" s="15" t="n">
        <v>794.25</v>
      </c>
    </row>
    <row r="25" customFormat="false" ht="15" hidden="false" customHeight="false" outlineLevel="0" collapsed="false">
      <c r="A25" s="1" t="s">
        <v>504</v>
      </c>
      <c r="B25" s="1" t="s">
        <v>556</v>
      </c>
      <c r="C25" s="1" t="s">
        <v>557</v>
      </c>
      <c r="D25" s="1" t="n">
        <v>1</v>
      </c>
      <c r="E25" s="1" t="s">
        <v>547</v>
      </c>
      <c r="F25" s="15" t="n">
        <v>1059</v>
      </c>
      <c r="G25" s="15" t="n">
        <f aca="false">F25/D25</f>
        <v>1059</v>
      </c>
      <c r="H25" s="16" t="n">
        <f aca="false">(I25/G25-1)*-1</f>
        <v>0.25</v>
      </c>
      <c r="I25" s="15" t="n">
        <v>794.25</v>
      </c>
    </row>
    <row r="26" customFormat="false" ht="15" hidden="false" customHeight="false" outlineLevel="0" collapsed="false">
      <c r="A26" s="1" t="s">
        <v>504</v>
      </c>
      <c r="B26" s="1" t="s">
        <v>558</v>
      </c>
      <c r="C26" s="1" t="s">
        <v>559</v>
      </c>
      <c r="D26" s="1" t="n">
        <v>1</v>
      </c>
      <c r="E26" s="1" t="s">
        <v>547</v>
      </c>
      <c r="F26" s="15" t="n">
        <v>1059</v>
      </c>
      <c r="G26" s="15" t="n">
        <f aca="false">F26/D26</f>
        <v>1059</v>
      </c>
      <c r="H26" s="16" t="n">
        <f aca="false">(I26/G26-1)*-1</f>
        <v>0.25</v>
      </c>
      <c r="I26" s="15" t="n">
        <v>794.25</v>
      </c>
    </row>
    <row r="27" customFormat="false" ht="15" hidden="false" customHeight="false" outlineLevel="0" collapsed="false">
      <c r="A27" s="1" t="s">
        <v>504</v>
      </c>
      <c r="B27" s="1" t="s">
        <v>560</v>
      </c>
      <c r="C27" s="1" t="s">
        <v>561</v>
      </c>
      <c r="D27" s="1" t="n">
        <v>1</v>
      </c>
      <c r="E27" s="1" t="s">
        <v>547</v>
      </c>
      <c r="F27" s="15" t="n">
        <v>1059</v>
      </c>
      <c r="G27" s="15" t="n">
        <f aca="false">F27/D27</f>
        <v>1059</v>
      </c>
      <c r="H27" s="16" t="n">
        <f aca="false">(I27/G27-1)*-1</f>
        <v>0.25</v>
      </c>
      <c r="I27" s="15" t="n">
        <v>794.25</v>
      </c>
    </row>
    <row r="28" customFormat="false" ht="15" hidden="false" customHeight="false" outlineLevel="0" collapsed="false">
      <c r="A28" s="1" t="s">
        <v>504</v>
      </c>
      <c r="B28" s="1" t="s">
        <v>562</v>
      </c>
      <c r="C28" s="1" t="s">
        <v>563</v>
      </c>
      <c r="D28" s="1" t="n">
        <v>0.9</v>
      </c>
      <c r="E28" s="1" t="s">
        <v>253</v>
      </c>
      <c r="F28" s="15" t="n">
        <v>309</v>
      </c>
      <c r="G28" s="15" t="n">
        <f aca="false">F28/D28</f>
        <v>343.333333333333</v>
      </c>
      <c r="H28" s="16" t="n">
        <f aca="false">(I28/G28-1)*-1</f>
        <v>0.129126213592233</v>
      </c>
      <c r="I28" s="15" t="n">
        <v>299</v>
      </c>
    </row>
    <row r="29" customFormat="false" ht="15" hidden="false" customHeight="false" outlineLevel="0" collapsed="false">
      <c r="A29" s="1" t="s">
        <v>504</v>
      </c>
      <c r="B29" s="1" t="s">
        <v>564</v>
      </c>
      <c r="C29" s="1" t="s">
        <v>565</v>
      </c>
      <c r="D29" s="1" t="n">
        <v>0.9</v>
      </c>
      <c r="E29" s="1" t="s">
        <v>253</v>
      </c>
      <c r="F29" s="15" t="n">
        <v>309</v>
      </c>
      <c r="G29" s="15" t="n">
        <f aca="false">F29/D29</f>
        <v>343.333333333333</v>
      </c>
      <c r="H29" s="16" t="n">
        <f aca="false">(I29/G29-1)*-1</f>
        <v>0.129126213592233</v>
      </c>
      <c r="I29" s="15" t="n">
        <v>299</v>
      </c>
    </row>
    <row r="30" customFormat="false" ht="15" hidden="false" customHeight="false" outlineLevel="0" collapsed="false">
      <c r="A30" s="1" t="s">
        <v>504</v>
      </c>
      <c r="B30" s="1" t="s">
        <v>566</v>
      </c>
      <c r="C30" s="1" t="s">
        <v>567</v>
      </c>
      <c r="D30" s="1" t="n">
        <v>0.9</v>
      </c>
      <c r="E30" s="1" t="s">
        <v>253</v>
      </c>
      <c r="F30" s="15" t="n">
        <v>309</v>
      </c>
      <c r="G30" s="15" t="n">
        <f aca="false">F30/D30</f>
        <v>343.333333333333</v>
      </c>
      <c r="H30" s="16" t="n">
        <f aca="false">(I30/G30-1)*-1</f>
        <v>0.129126213592233</v>
      </c>
      <c r="I30" s="15" t="n">
        <v>299</v>
      </c>
    </row>
    <row r="31" customFormat="false" ht="15" hidden="false" customHeight="false" outlineLevel="0" collapsed="false">
      <c r="A31" s="1" t="s">
        <v>504</v>
      </c>
      <c r="B31" s="1" t="s">
        <v>568</v>
      </c>
      <c r="C31" s="1" t="s">
        <v>569</v>
      </c>
      <c r="D31" s="1" t="n">
        <v>0.9</v>
      </c>
      <c r="E31" s="1" t="s">
        <v>253</v>
      </c>
      <c r="F31" s="15" t="n">
        <v>309</v>
      </c>
      <c r="G31" s="15" t="n">
        <f aca="false">F31/D31</f>
        <v>343.333333333333</v>
      </c>
      <c r="H31" s="16" t="n">
        <f aca="false">(I31/G31-1)*-1</f>
        <v>0.129126213592233</v>
      </c>
      <c r="I31" s="15" t="n">
        <v>299</v>
      </c>
    </row>
    <row r="32" customFormat="false" ht="15" hidden="false" customHeight="false" outlineLevel="0" collapsed="false">
      <c r="A32" s="1" t="s">
        <v>504</v>
      </c>
      <c r="B32" s="1" t="s">
        <v>570</v>
      </c>
      <c r="C32" s="1" t="s">
        <v>571</v>
      </c>
      <c r="D32" s="1" t="n">
        <v>0.9</v>
      </c>
      <c r="E32" s="1" t="s">
        <v>253</v>
      </c>
      <c r="F32" s="15" t="n">
        <v>309</v>
      </c>
      <c r="G32" s="15" t="n">
        <f aca="false">F32/D32</f>
        <v>343.333333333333</v>
      </c>
      <c r="H32" s="16" t="n">
        <f aca="false">(I32/G32-1)*-1</f>
        <v>0.129126213592233</v>
      </c>
      <c r="I32" s="15" t="n">
        <v>299</v>
      </c>
    </row>
    <row r="33" customFormat="false" ht="15" hidden="false" customHeight="false" outlineLevel="0" collapsed="false">
      <c r="A33" s="1" t="s">
        <v>504</v>
      </c>
      <c r="B33" s="1" t="s">
        <v>572</v>
      </c>
      <c r="C33" s="1" t="s">
        <v>573</v>
      </c>
      <c r="D33" s="1" t="n">
        <v>1</v>
      </c>
      <c r="E33" s="1" t="s">
        <v>574</v>
      </c>
      <c r="F33" s="15" t="n">
        <v>238.8</v>
      </c>
      <c r="G33" s="15" t="n">
        <f aca="false">F33/D33</f>
        <v>238.8</v>
      </c>
      <c r="H33" s="16" t="n">
        <f aca="false">(I33/G33-1)*-1</f>
        <v>0.124790619765494</v>
      </c>
      <c r="I33" s="15" t="n">
        <v>209</v>
      </c>
    </row>
    <row r="34" customFormat="false" ht="15" hidden="false" customHeight="false" outlineLevel="0" collapsed="false">
      <c r="A34" s="1" t="s">
        <v>504</v>
      </c>
      <c r="B34" s="1" t="s">
        <v>575</v>
      </c>
      <c r="C34" s="1" t="s">
        <v>576</v>
      </c>
      <c r="D34" s="1" t="n">
        <v>1</v>
      </c>
      <c r="E34" s="1" t="s">
        <v>574</v>
      </c>
      <c r="F34" s="15" t="n">
        <v>238.8</v>
      </c>
      <c r="G34" s="15" t="n">
        <f aca="false">F34/D34</f>
        <v>238.8</v>
      </c>
      <c r="H34" s="16" t="n">
        <f aca="false">(I34/G34-1)*-1</f>
        <v>0.124790619765494</v>
      </c>
      <c r="I34" s="15" t="n">
        <v>209</v>
      </c>
    </row>
    <row r="35" customFormat="false" ht="15" hidden="false" customHeight="false" outlineLevel="0" collapsed="false">
      <c r="A35" s="1" t="s">
        <v>504</v>
      </c>
      <c r="B35" s="1" t="s">
        <v>577</v>
      </c>
      <c r="C35" s="1" t="s">
        <v>578</v>
      </c>
      <c r="D35" s="1" t="n">
        <v>1.44</v>
      </c>
      <c r="E35" s="1" t="s">
        <v>278</v>
      </c>
      <c r="F35" s="15" t="n">
        <v>599</v>
      </c>
      <c r="G35" s="15" t="n">
        <f aca="false">F35/D35</f>
        <v>415.972222222222</v>
      </c>
      <c r="H35" s="16" t="n">
        <f aca="false">(I35/G35-1)*-1</f>
        <v>0.353322203672788</v>
      </c>
      <c r="I35" s="15" t="n">
        <v>269</v>
      </c>
      <c r="J35" s="15" t="n">
        <v>259</v>
      </c>
    </row>
    <row r="36" customFormat="false" ht="15" hidden="false" customHeight="false" outlineLevel="0" collapsed="false">
      <c r="A36" s="1" t="s">
        <v>504</v>
      </c>
      <c r="B36" s="1" t="s">
        <v>579</v>
      </c>
      <c r="C36" s="1" t="s">
        <v>580</v>
      </c>
      <c r="D36" s="1" t="n">
        <v>2.16</v>
      </c>
      <c r="E36" s="1" t="s">
        <v>278</v>
      </c>
      <c r="F36" s="15" t="n">
        <v>1019</v>
      </c>
      <c r="G36" s="15" t="n">
        <f aca="false">F36/D36</f>
        <v>471.759259259259</v>
      </c>
      <c r="H36" s="16" t="n">
        <f aca="false">(I36/G36-1)*-1</f>
        <v>0.429793915603533</v>
      </c>
      <c r="I36" s="15" t="n">
        <v>269</v>
      </c>
      <c r="J36" s="15" t="n">
        <v>199</v>
      </c>
    </row>
    <row r="37" customFormat="false" ht="15" hidden="false" customHeight="false" outlineLevel="0" collapsed="false">
      <c r="A37" s="1" t="s">
        <v>504</v>
      </c>
      <c r="B37" s="1" t="s">
        <v>581</v>
      </c>
      <c r="C37" s="1" t="s">
        <v>582</v>
      </c>
      <c r="D37" s="1" t="n">
        <v>2.16</v>
      </c>
      <c r="E37" s="1" t="s">
        <v>278</v>
      </c>
      <c r="F37" s="15" t="n">
        <v>1019</v>
      </c>
      <c r="G37" s="15" t="n">
        <f aca="false">F37/D37</f>
        <v>471.759259259259</v>
      </c>
      <c r="H37" s="16" t="n">
        <f aca="false">(I37/G37-1)*-1</f>
        <v>0.429793915603533</v>
      </c>
      <c r="I37" s="15" t="n">
        <v>269</v>
      </c>
      <c r="J37" s="15" t="n">
        <v>199</v>
      </c>
    </row>
    <row r="38" customFormat="false" ht="15" hidden="false" customHeight="false" outlineLevel="0" collapsed="false">
      <c r="A38" s="1" t="s">
        <v>504</v>
      </c>
      <c r="B38" s="1" t="s">
        <v>583</v>
      </c>
      <c r="C38" s="1" t="s">
        <v>584</v>
      </c>
      <c r="D38" s="1" t="n">
        <v>1.44</v>
      </c>
      <c r="E38" s="1" t="s">
        <v>278</v>
      </c>
      <c r="F38" s="15" t="n">
        <v>599</v>
      </c>
      <c r="G38" s="15" t="n">
        <f aca="false">F38/D38</f>
        <v>415.972222222222</v>
      </c>
      <c r="H38" s="16" t="n">
        <f aca="false">(I38/G38-1)*-1</f>
        <v>0.353322203672788</v>
      </c>
      <c r="I38" s="15" t="n">
        <v>269</v>
      </c>
      <c r="J38" s="15" t="n">
        <v>259</v>
      </c>
    </row>
    <row r="39" customFormat="false" ht="15" hidden="false" customHeight="false" outlineLevel="0" collapsed="false">
      <c r="A39" s="1" t="s">
        <v>504</v>
      </c>
      <c r="B39" s="1" t="s">
        <v>585</v>
      </c>
      <c r="C39" s="1" t="s">
        <v>586</v>
      </c>
      <c r="D39" s="1" t="n">
        <v>2.16</v>
      </c>
      <c r="E39" s="1" t="s">
        <v>278</v>
      </c>
      <c r="F39" s="15" t="n">
        <v>1069</v>
      </c>
      <c r="G39" s="15" t="n">
        <f aca="false">F39/D39</f>
        <v>494.907407407407</v>
      </c>
      <c r="H39" s="16" t="n">
        <f aca="false">(I39/G39-1)*-1</f>
        <v>0.436258185219832</v>
      </c>
      <c r="I39" s="15" t="n">
        <v>279</v>
      </c>
      <c r="J39" s="15" t="n">
        <v>269</v>
      </c>
    </row>
    <row r="40" customFormat="false" ht="15" hidden="false" customHeight="false" outlineLevel="0" collapsed="false">
      <c r="A40" s="1" t="s">
        <v>504</v>
      </c>
      <c r="B40" s="1" t="s">
        <v>587</v>
      </c>
      <c r="C40" s="1" t="s">
        <v>588</v>
      </c>
      <c r="D40" s="1" t="n">
        <v>2.88</v>
      </c>
      <c r="E40" s="1" t="s">
        <v>278</v>
      </c>
      <c r="F40" s="15" t="n">
        <v>1339</v>
      </c>
      <c r="G40" s="15" t="n">
        <f aca="false">F40/D40</f>
        <v>464.930555555556</v>
      </c>
      <c r="H40" s="16" t="n">
        <f aca="false">(I40/G40-1)*-1</f>
        <v>0.356893203883495</v>
      </c>
      <c r="I40" s="15" t="n">
        <v>299</v>
      </c>
      <c r="J40" s="15" t="n">
        <v>289</v>
      </c>
    </row>
    <row r="41" customFormat="false" ht="15" hidden="false" customHeight="false" outlineLevel="0" collapsed="false">
      <c r="A41" s="1" t="s">
        <v>504</v>
      </c>
      <c r="B41" s="1" t="s">
        <v>589</v>
      </c>
      <c r="C41" s="1" t="s">
        <v>590</v>
      </c>
      <c r="D41" s="1" t="n">
        <v>2.88</v>
      </c>
      <c r="E41" s="1" t="s">
        <v>278</v>
      </c>
      <c r="F41" s="15" t="n">
        <v>1339</v>
      </c>
      <c r="G41" s="15" t="n">
        <f aca="false">F41/D41</f>
        <v>464.930555555556</v>
      </c>
      <c r="H41" s="16" t="n">
        <f aca="false">(I41/G41-1)*-1</f>
        <v>0.356893203883495</v>
      </c>
      <c r="I41" s="15" t="n">
        <v>299</v>
      </c>
      <c r="J41" s="15" t="n">
        <v>289</v>
      </c>
    </row>
    <row r="42" customFormat="false" ht="15" hidden="false" customHeight="false" outlineLevel="0" collapsed="false">
      <c r="A42" s="1" t="s">
        <v>504</v>
      </c>
      <c r="B42" s="1" t="s">
        <v>591</v>
      </c>
      <c r="C42" s="1" t="s">
        <v>592</v>
      </c>
      <c r="D42" s="1" t="n">
        <v>2.88</v>
      </c>
      <c r="E42" s="1" t="s">
        <v>278</v>
      </c>
      <c r="F42" s="15" t="n">
        <v>1339</v>
      </c>
      <c r="G42" s="15" t="n">
        <f aca="false">F42/D42</f>
        <v>464.930555555556</v>
      </c>
      <c r="H42" s="16" t="n">
        <f aca="false">(I42/G42-1)*-1</f>
        <v>0.356893203883495</v>
      </c>
      <c r="I42" s="15" t="n">
        <v>299</v>
      </c>
      <c r="J42" s="15" t="n">
        <v>289</v>
      </c>
    </row>
    <row r="43" customFormat="false" ht="15" hidden="false" customHeight="false" outlineLevel="0" collapsed="false">
      <c r="A43" s="1" t="s">
        <v>504</v>
      </c>
      <c r="B43" s="1" t="s">
        <v>593</v>
      </c>
      <c r="C43" s="1" t="s">
        <v>594</v>
      </c>
      <c r="D43" s="1" t="n">
        <v>2.88</v>
      </c>
      <c r="E43" s="1" t="s">
        <v>278</v>
      </c>
      <c r="F43" s="15" t="n">
        <v>1339</v>
      </c>
      <c r="G43" s="15" t="n">
        <f aca="false">F43/D43</f>
        <v>464.930555555556</v>
      </c>
      <c r="H43" s="16" t="n">
        <f aca="false">(I43/G43-1)*-1</f>
        <v>0.356893203883495</v>
      </c>
      <c r="I43" s="15" t="n">
        <v>299</v>
      </c>
      <c r="J43" s="15" t="n">
        <v>289</v>
      </c>
    </row>
    <row r="44" customFormat="false" ht="15" hidden="false" customHeight="false" outlineLevel="0" collapsed="false">
      <c r="A44" s="1" t="s">
        <v>504</v>
      </c>
      <c r="B44" s="1" t="s">
        <v>595</v>
      </c>
      <c r="C44" s="1" t="s">
        <v>596</v>
      </c>
      <c r="D44" s="1" t="n">
        <v>2.88</v>
      </c>
      <c r="E44" s="1" t="s">
        <v>278</v>
      </c>
      <c r="F44" s="15" t="n">
        <v>1339</v>
      </c>
      <c r="G44" s="15" t="n">
        <f aca="false">F44/D44</f>
        <v>464.930555555556</v>
      </c>
      <c r="H44" s="16" t="n">
        <f aca="false">(I44/G44-1)*-1</f>
        <v>0.356893203883495</v>
      </c>
      <c r="I44" s="15" t="n">
        <v>299</v>
      </c>
      <c r="J44" s="15" t="n">
        <v>289</v>
      </c>
    </row>
    <row r="45" customFormat="false" ht="15" hidden="false" customHeight="false" outlineLevel="0" collapsed="false">
      <c r="A45" s="1" t="s">
        <v>504</v>
      </c>
      <c r="B45" s="1" t="s">
        <v>597</v>
      </c>
      <c r="C45" s="1" t="s">
        <v>598</v>
      </c>
      <c r="D45" s="1" t="n">
        <v>2.88</v>
      </c>
      <c r="E45" s="1" t="s">
        <v>278</v>
      </c>
      <c r="F45" s="15" t="n">
        <v>1339</v>
      </c>
      <c r="G45" s="15" t="n">
        <f aca="false">F45/D45</f>
        <v>464.930555555556</v>
      </c>
      <c r="H45" s="16" t="n">
        <f aca="false">(I45/G45-1)*-1</f>
        <v>0.356893203883495</v>
      </c>
      <c r="I45" s="15" t="n">
        <v>299</v>
      </c>
      <c r="J45" s="15" t="n">
        <v>279</v>
      </c>
    </row>
    <row r="46" customFormat="false" ht="15" hidden="false" customHeight="false" outlineLevel="0" collapsed="false">
      <c r="A46" s="1" t="s">
        <v>504</v>
      </c>
      <c r="B46" s="1" t="s">
        <v>599</v>
      </c>
      <c r="C46" s="1" t="s">
        <v>600</v>
      </c>
      <c r="D46" s="1" t="n">
        <v>2.88</v>
      </c>
      <c r="E46" s="1" t="s">
        <v>278</v>
      </c>
      <c r="F46" s="15" t="n">
        <v>1339</v>
      </c>
      <c r="G46" s="15" t="n">
        <f aca="false">F46/D46</f>
        <v>464.930555555556</v>
      </c>
      <c r="H46" s="16" t="n">
        <f aca="false">(I46/G46-1)*-1</f>
        <v>0.356893203883495</v>
      </c>
      <c r="I46" s="15" t="n">
        <v>299</v>
      </c>
      <c r="J46" s="15" t="n">
        <v>279</v>
      </c>
    </row>
    <row r="47" customFormat="false" ht="15" hidden="false" customHeight="false" outlineLevel="0" collapsed="false">
      <c r="A47" s="1" t="s">
        <v>504</v>
      </c>
      <c r="B47" s="1" t="s">
        <v>601</v>
      </c>
      <c r="C47" s="1" t="s">
        <v>602</v>
      </c>
      <c r="D47" s="1" t="n">
        <v>2.16</v>
      </c>
      <c r="E47" s="1" t="s">
        <v>278</v>
      </c>
      <c r="F47" s="15" t="n">
        <v>1019</v>
      </c>
      <c r="G47" s="15" t="n">
        <f aca="false">F47/D47</f>
        <v>471.759259259259</v>
      </c>
      <c r="H47" s="16" t="n">
        <f aca="false">(I47/G47-1)*-1</f>
        <v>0.366202158979392</v>
      </c>
      <c r="I47" s="15" t="n">
        <v>299</v>
      </c>
      <c r="J47" s="15" t="n">
        <v>289</v>
      </c>
    </row>
    <row r="48" customFormat="false" ht="15" hidden="false" customHeight="false" outlineLevel="0" collapsed="false">
      <c r="A48" s="1" t="s">
        <v>504</v>
      </c>
      <c r="B48" s="1" t="s">
        <v>603</v>
      </c>
      <c r="C48" s="1" t="s">
        <v>604</v>
      </c>
      <c r="D48" s="1" t="n">
        <v>2.16</v>
      </c>
      <c r="E48" s="1" t="s">
        <v>278</v>
      </c>
      <c r="F48" s="15" t="n">
        <v>1019</v>
      </c>
      <c r="G48" s="15" t="n">
        <f aca="false">F48/D48</f>
        <v>471.759259259259</v>
      </c>
      <c r="H48" s="16" t="n">
        <f aca="false">(I48/G48-1)*-1</f>
        <v>0.366202158979392</v>
      </c>
      <c r="I48" s="15" t="n">
        <v>299</v>
      </c>
      <c r="J48" s="15" t="n">
        <v>289</v>
      </c>
    </row>
    <row r="49" customFormat="false" ht="15" hidden="false" customHeight="false" outlineLevel="0" collapsed="false">
      <c r="A49" s="1" t="s">
        <v>504</v>
      </c>
      <c r="B49" s="1" t="s">
        <v>605</v>
      </c>
      <c r="C49" s="1" t="s">
        <v>606</v>
      </c>
      <c r="D49" s="1" t="n">
        <v>2.16</v>
      </c>
      <c r="E49" s="1" t="s">
        <v>278</v>
      </c>
      <c r="F49" s="15" t="n">
        <v>1019</v>
      </c>
      <c r="G49" s="15" t="n">
        <f aca="false">F49/D49</f>
        <v>471.759259259259</v>
      </c>
      <c r="H49" s="16" t="n">
        <f aca="false">(I49/G49-1)*-1</f>
        <v>0.366202158979392</v>
      </c>
      <c r="I49" s="15" t="n">
        <v>299</v>
      </c>
      <c r="J49" s="15" t="n">
        <v>289</v>
      </c>
    </row>
    <row r="50" customFormat="false" ht="15" hidden="false" customHeight="false" outlineLevel="0" collapsed="false">
      <c r="A50" s="1" t="s">
        <v>504</v>
      </c>
      <c r="B50" s="1" t="s">
        <v>607</v>
      </c>
      <c r="C50" s="1" t="s">
        <v>608</v>
      </c>
      <c r="D50" s="1" t="n">
        <v>2.88</v>
      </c>
      <c r="E50" s="1" t="s">
        <v>278</v>
      </c>
      <c r="F50" s="15" t="n">
        <v>1339</v>
      </c>
      <c r="G50" s="15" t="n">
        <f aca="false">F50/D50</f>
        <v>464.930555555556</v>
      </c>
      <c r="H50" s="16" t="n">
        <f aca="false">(I50/G50-1)*-1</f>
        <v>0.356893203883495</v>
      </c>
      <c r="I50" s="15" t="n">
        <v>299</v>
      </c>
      <c r="J50" s="15" t="n">
        <v>289</v>
      </c>
    </row>
    <row r="51" customFormat="false" ht="15" hidden="false" customHeight="false" outlineLevel="0" collapsed="false">
      <c r="A51" s="1" t="s">
        <v>504</v>
      </c>
      <c r="B51" s="1" t="s">
        <v>609</v>
      </c>
      <c r="C51" s="1" t="s">
        <v>610</v>
      </c>
      <c r="D51" s="1" t="n">
        <v>2.88</v>
      </c>
      <c r="E51" s="1" t="s">
        <v>278</v>
      </c>
      <c r="F51" s="15" t="n">
        <v>1099</v>
      </c>
      <c r="G51" s="15" t="n">
        <f aca="false">F51/D51</f>
        <v>381.597222222222</v>
      </c>
      <c r="H51" s="16" t="n">
        <f aca="false">(I51/G51-1)*-1</f>
        <v>0.164040036396724</v>
      </c>
      <c r="I51" s="15" t="n">
        <v>319</v>
      </c>
      <c r="J51" s="15" t="n">
        <v>309</v>
      </c>
    </row>
    <row r="52" customFormat="false" ht="15" hidden="false" customHeight="false" outlineLevel="0" collapsed="false">
      <c r="A52" s="1" t="s">
        <v>504</v>
      </c>
      <c r="B52" s="1" t="s">
        <v>611</v>
      </c>
      <c r="C52" s="1" t="s">
        <v>612</v>
      </c>
      <c r="D52" s="1" t="n">
        <v>2.16</v>
      </c>
      <c r="E52" s="1" t="s">
        <v>278</v>
      </c>
      <c r="F52" s="15" t="n">
        <v>999</v>
      </c>
      <c r="G52" s="15" t="n">
        <f aca="false">F52/D52</f>
        <v>462.5</v>
      </c>
      <c r="H52" s="16" t="n">
        <f aca="false">(I52/G52-1)*-1</f>
        <v>0.245405405405405</v>
      </c>
      <c r="I52" s="15" t="n">
        <v>349</v>
      </c>
      <c r="J52" s="15" t="n">
        <v>339</v>
      </c>
    </row>
    <row r="53" customFormat="false" ht="15" hidden="false" customHeight="false" outlineLevel="0" collapsed="false">
      <c r="A53" s="1" t="s">
        <v>504</v>
      </c>
      <c r="B53" s="1" t="s">
        <v>613</v>
      </c>
      <c r="C53" s="1" t="s">
        <v>614</v>
      </c>
      <c r="D53" s="1" t="n">
        <v>2.16</v>
      </c>
      <c r="E53" s="1" t="s">
        <v>278</v>
      </c>
      <c r="F53" s="15" t="n">
        <v>999</v>
      </c>
      <c r="G53" s="15" t="n">
        <f aca="false">F53/D53</f>
        <v>462.5</v>
      </c>
      <c r="H53" s="16" t="n">
        <f aca="false">(I53/G53-1)*-1</f>
        <v>0.245405405405405</v>
      </c>
      <c r="I53" s="15" t="n">
        <v>349</v>
      </c>
      <c r="J53" s="15" t="n">
        <v>339</v>
      </c>
    </row>
    <row r="54" customFormat="false" ht="15" hidden="false" customHeight="false" outlineLevel="0" collapsed="false">
      <c r="A54" s="1" t="s">
        <v>504</v>
      </c>
      <c r="B54" s="1" t="s">
        <v>615</v>
      </c>
      <c r="C54" s="1" t="s">
        <v>616</v>
      </c>
      <c r="D54" s="1" t="n">
        <v>2.16</v>
      </c>
      <c r="E54" s="1" t="s">
        <v>278</v>
      </c>
      <c r="F54" s="15" t="n">
        <v>1069</v>
      </c>
      <c r="G54" s="15" t="n">
        <f aca="false">F54/D54</f>
        <v>494.907407407407</v>
      </c>
      <c r="H54" s="16" t="n">
        <f aca="false">(I54/G54-1)*-1</f>
        <v>0.254405986903648</v>
      </c>
      <c r="I54" s="15" t="n">
        <v>369</v>
      </c>
      <c r="J54" s="15" t="n">
        <v>359</v>
      </c>
    </row>
    <row r="55" customFormat="false" ht="15" hidden="false" customHeight="false" outlineLevel="0" collapsed="false">
      <c r="A55" s="1" t="s">
        <v>504</v>
      </c>
      <c r="B55" s="1" t="s">
        <v>617</v>
      </c>
      <c r="C55" s="1" t="s">
        <v>618</v>
      </c>
      <c r="D55" s="1" t="n">
        <v>1.44</v>
      </c>
      <c r="E55" s="1" t="s">
        <v>278</v>
      </c>
      <c r="F55" s="15" t="n">
        <v>699</v>
      </c>
      <c r="G55" s="15" t="n">
        <f aca="false">F55/D55</f>
        <v>485.416666666667</v>
      </c>
      <c r="H55" s="16" t="n">
        <f aca="false">(I55/G55-1)*-1</f>
        <v>0.239828326180258</v>
      </c>
      <c r="I55" s="15" t="n">
        <v>369</v>
      </c>
      <c r="J55" s="15" t="n">
        <v>359</v>
      </c>
    </row>
    <row r="56" customFormat="false" ht="15" hidden="false" customHeight="false" outlineLevel="0" collapsed="false">
      <c r="A56" s="1" t="s">
        <v>504</v>
      </c>
      <c r="B56" s="1" t="s">
        <v>619</v>
      </c>
      <c r="C56" s="1" t="s">
        <v>620</v>
      </c>
      <c r="D56" s="1" t="n">
        <v>1.44</v>
      </c>
      <c r="E56" s="1" t="s">
        <v>278</v>
      </c>
      <c r="F56" s="15" t="n">
        <v>709</v>
      </c>
      <c r="G56" s="15" t="n">
        <f aca="false">F56/D56</f>
        <v>492.361111111111</v>
      </c>
      <c r="H56" s="16" t="n">
        <f aca="false">(I56/G56-1)*-1</f>
        <v>0.250550070521862</v>
      </c>
      <c r="I56" s="15" t="n">
        <v>369</v>
      </c>
      <c r="J56" s="15" t="n">
        <v>359</v>
      </c>
    </row>
    <row r="57" customFormat="false" ht="15" hidden="false" customHeight="false" outlineLevel="0" collapsed="false">
      <c r="A57" s="1" t="s">
        <v>504</v>
      </c>
      <c r="B57" s="1" t="s">
        <v>621</v>
      </c>
      <c r="C57" s="1" t="s">
        <v>622</v>
      </c>
      <c r="D57" s="1" t="n">
        <v>1.44</v>
      </c>
      <c r="E57" s="1" t="s">
        <v>278</v>
      </c>
      <c r="F57" s="15" t="n">
        <v>709</v>
      </c>
      <c r="G57" s="15" t="n">
        <f aca="false">F57/D57</f>
        <v>492.361111111111</v>
      </c>
      <c r="H57" s="16" t="n">
        <f aca="false">(I57/G57-1)*-1</f>
        <v>0.250550070521862</v>
      </c>
      <c r="I57" s="15" t="n">
        <v>369</v>
      </c>
      <c r="J57" s="15" t="n">
        <v>319</v>
      </c>
    </row>
    <row r="58" customFormat="false" ht="15" hidden="false" customHeight="false" outlineLevel="0" collapsed="false">
      <c r="A58" s="1" t="s">
        <v>504</v>
      </c>
      <c r="B58" s="1" t="s">
        <v>623</v>
      </c>
      <c r="C58" s="1" t="s">
        <v>624</v>
      </c>
      <c r="D58" s="1" t="n">
        <v>1.44</v>
      </c>
      <c r="E58" s="1" t="s">
        <v>278</v>
      </c>
      <c r="F58" s="15" t="n">
        <v>709</v>
      </c>
      <c r="G58" s="15" t="n">
        <f aca="false">F58/D58</f>
        <v>492.361111111111</v>
      </c>
      <c r="H58" s="16" t="n">
        <f aca="false">(I58/G58-1)*-1</f>
        <v>0.250550070521862</v>
      </c>
      <c r="I58" s="15" t="n">
        <v>369</v>
      </c>
      <c r="J58" s="15" t="n">
        <v>359</v>
      </c>
    </row>
    <row r="59" customFormat="false" ht="15" hidden="false" customHeight="false" outlineLevel="0" collapsed="false">
      <c r="A59" s="1" t="s">
        <v>504</v>
      </c>
      <c r="B59" s="1" t="s">
        <v>625</v>
      </c>
      <c r="C59" s="1" t="s">
        <v>626</v>
      </c>
      <c r="D59" s="1" t="n">
        <v>1.44</v>
      </c>
      <c r="E59" s="1" t="s">
        <v>278</v>
      </c>
      <c r="F59" s="15" t="n">
        <v>709</v>
      </c>
      <c r="G59" s="15" t="n">
        <f aca="false">F59/D59</f>
        <v>492.361111111111</v>
      </c>
      <c r="H59" s="16" t="n">
        <f aca="false">(I59/G59-1)*-1</f>
        <v>0.250550070521862</v>
      </c>
      <c r="I59" s="15" t="n">
        <v>369</v>
      </c>
      <c r="J59" s="15" t="n">
        <v>359</v>
      </c>
    </row>
    <row r="60" customFormat="false" ht="15" hidden="false" customHeight="false" outlineLevel="0" collapsed="false">
      <c r="A60" s="1" t="s">
        <v>504</v>
      </c>
      <c r="B60" s="1" t="s">
        <v>627</v>
      </c>
      <c r="C60" s="1" t="s">
        <v>628</v>
      </c>
      <c r="D60" s="1" t="n">
        <v>1.44</v>
      </c>
      <c r="E60" s="1" t="s">
        <v>278</v>
      </c>
      <c r="F60" s="15" t="n">
        <v>709</v>
      </c>
      <c r="G60" s="15" t="n">
        <f aca="false">F60/D60</f>
        <v>492.361111111111</v>
      </c>
      <c r="H60" s="16" t="n">
        <f aca="false">(I60/G60-1)*-1</f>
        <v>0.250550070521862</v>
      </c>
      <c r="I60" s="15" t="n">
        <v>369</v>
      </c>
      <c r="J60" s="15" t="n">
        <v>359</v>
      </c>
    </row>
    <row r="61" customFormat="false" ht="15" hidden="false" customHeight="false" outlineLevel="0" collapsed="false">
      <c r="A61" s="1" t="s">
        <v>504</v>
      </c>
      <c r="B61" s="1" t="s">
        <v>629</v>
      </c>
      <c r="C61" s="1" t="s">
        <v>630</v>
      </c>
      <c r="D61" s="1" t="n">
        <v>1.44</v>
      </c>
      <c r="E61" s="1" t="s">
        <v>278</v>
      </c>
      <c r="F61" s="15" t="n">
        <v>869</v>
      </c>
      <c r="G61" s="15" t="n">
        <f aca="false">F61/D61</f>
        <v>603.472222222222</v>
      </c>
      <c r="H61" s="16" t="n">
        <f aca="false">(I61/G61-1)*-1</f>
        <v>0.388538550057537</v>
      </c>
      <c r="I61" s="15" t="n">
        <v>369</v>
      </c>
      <c r="J61" s="15" t="n">
        <v>349</v>
      </c>
    </row>
    <row r="62" customFormat="false" ht="15" hidden="false" customHeight="false" outlineLevel="0" collapsed="false">
      <c r="A62" s="1" t="s">
        <v>504</v>
      </c>
      <c r="B62" s="1" t="s">
        <v>631</v>
      </c>
      <c r="C62" s="1" t="s">
        <v>632</v>
      </c>
      <c r="D62" s="1" t="n">
        <v>1.44</v>
      </c>
      <c r="E62" s="1" t="s">
        <v>278</v>
      </c>
      <c r="F62" s="15" t="n">
        <v>699</v>
      </c>
      <c r="G62" s="15" t="n">
        <f aca="false">F62/D62</f>
        <v>485.416666666667</v>
      </c>
      <c r="H62" s="16" t="n">
        <f aca="false">(I62/G62-1)*-1</f>
        <v>0.219227467811159</v>
      </c>
      <c r="I62" s="15" t="n">
        <v>379</v>
      </c>
      <c r="J62" s="15" t="n">
        <v>269</v>
      </c>
      <c r="K62" s="11" t="s">
        <v>524</v>
      </c>
    </row>
    <row r="63" customFormat="false" ht="15" hidden="false" customHeight="false" outlineLevel="0" collapsed="false">
      <c r="A63" s="1" t="s">
        <v>504</v>
      </c>
      <c r="B63" s="1" t="s">
        <v>633</v>
      </c>
      <c r="C63" s="1" t="s">
        <v>634</v>
      </c>
      <c r="D63" s="1" t="n">
        <v>1.44</v>
      </c>
      <c r="E63" s="1" t="s">
        <v>278</v>
      </c>
      <c r="F63" s="15" t="n">
        <v>709</v>
      </c>
      <c r="G63" s="15" t="n">
        <f aca="false">F63/D63</f>
        <v>492.361111111111</v>
      </c>
      <c r="H63" s="16" t="n">
        <f aca="false">(I63/G63-1)*-1</f>
        <v>0.209929478138223</v>
      </c>
      <c r="I63" s="15" t="n">
        <v>389</v>
      </c>
      <c r="J63" s="15" t="n">
        <v>379</v>
      </c>
    </row>
    <row r="64" customFormat="false" ht="15" hidden="false" customHeight="false" outlineLevel="0" collapsed="false">
      <c r="A64" s="1" t="s">
        <v>504</v>
      </c>
      <c r="B64" s="1" t="s">
        <v>635</v>
      </c>
      <c r="C64" s="1" t="s">
        <v>636</v>
      </c>
      <c r="D64" s="1" t="n">
        <v>1.44</v>
      </c>
      <c r="E64" s="1" t="s">
        <v>278</v>
      </c>
      <c r="F64" s="15" t="n">
        <v>899</v>
      </c>
      <c r="G64" s="15" t="n">
        <f aca="false">F64/D64</f>
        <v>624.305555555556</v>
      </c>
      <c r="H64" s="16" t="n">
        <f aca="false">(I64/G64-1)*-1</f>
        <v>0.376907675194661</v>
      </c>
      <c r="I64" s="15" t="n">
        <v>389</v>
      </c>
      <c r="J64" s="15" t="n">
        <v>379</v>
      </c>
    </row>
    <row r="65" customFormat="false" ht="15" hidden="false" customHeight="false" outlineLevel="0" collapsed="false">
      <c r="A65" s="1" t="s">
        <v>504</v>
      </c>
      <c r="B65" s="1" t="s">
        <v>637</v>
      </c>
      <c r="C65" s="1" t="s">
        <v>638</v>
      </c>
      <c r="D65" s="1" t="n">
        <v>2.16</v>
      </c>
      <c r="E65" s="1" t="s">
        <v>278</v>
      </c>
      <c r="F65" s="15" t="n">
        <v>1069</v>
      </c>
      <c r="G65" s="15" t="n">
        <f aca="false">F65/D65</f>
        <v>494.907407407407</v>
      </c>
      <c r="H65" s="16" t="n">
        <f aca="false">(I65/G65-1)*-1</f>
        <v>0.19378858746492</v>
      </c>
      <c r="I65" s="15" t="n">
        <v>399</v>
      </c>
      <c r="J65" s="15" t="n">
        <v>389</v>
      </c>
    </row>
    <row r="66" customFormat="false" ht="15" hidden="false" customHeight="false" outlineLevel="0" collapsed="false">
      <c r="A66" s="1" t="s">
        <v>504</v>
      </c>
      <c r="B66" s="1" t="s">
        <v>639</v>
      </c>
      <c r="C66" s="1" t="s">
        <v>640</v>
      </c>
      <c r="D66" s="1" t="n">
        <v>1.44</v>
      </c>
      <c r="E66" s="1" t="s">
        <v>278</v>
      </c>
      <c r="F66" s="15" t="n">
        <v>699</v>
      </c>
      <c r="G66" s="15" t="n">
        <f aca="false">F66/D66</f>
        <v>485.416666666667</v>
      </c>
      <c r="H66" s="16" t="n">
        <f aca="false">(I66/G66-1)*-1</f>
        <v>0.178025751072961</v>
      </c>
      <c r="I66" s="15" t="n">
        <v>399</v>
      </c>
      <c r="J66" s="15" t="n">
        <v>389</v>
      </c>
    </row>
    <row r="67" customFormat="false" ht="15" hidden="false" customHeight="false" outlineLevel="0" collapsed="false">
      <c r="A67" s="1" t="s">
        <v>504</v>
      </c>
      <c r="B67" s="1" t="s">
        <v>641</v>
      </c>
      <c r="C67" s="1" t="s">
        <v>642</v>
      </c>
      <c r="D67" s="1" t="n">
        <v>1.44</v>
      </c>
      <c r="E67" s="1" t="s">
        <v>278</v>
      </c>
      <c r="F67" s="15" t="n">
        <v>699</v>
      </c>
      <c r="G67" s="15" t="n">
        <f aca="false">F67/D67</f>
        <v>485.416666666667</v>
      </c>
      <c r="H67" s="16" t="n">
        <f aca="false">(I67/G67-1)*-1</f>
        <v>0.178025751072961</v>
      </c>
      <c r="I67" s="15" t="n">
        <v>399</v>
      </c>
      <c r="J67" s="15" t="n">
        <v>389</v>
      </c>
    </row>
    <row r="68" customFormat="false" ht="15" hidden="false" customHeight="false" outlineLevel="0" collapsed="false">
      <c r="A68" s="1" t="s">
        <v>504</v>
      </c>
      <c r="B68" s="1" t="s">
        <v>643</v>
      </c>
      <c r="C68" s="1" t="s">
        <v>644</v>
      </c>
      <c r="D68" s="1" t="n">
        <v>1.44</v>
      </c>
      <c r="E68" s="1" t="s">
        <v>278</v>
      </c>
      <c r="F68" s="15" t="n">
        <v>699</v>
      </c>
      <c r="G68" s="15" t="n">
        <f aca="false">F68/D68</f>
        <v>485.416666666667</v>
      </c>
      <c r="H68" s="16" t="n">
        <f aca="false">(I68/G68-1)*-1</f>
        <v>0.178025751072961</v>
      </c>
      <c r="I68" s="15" t="n">
        <v>399</v>
      </c>
      <c r="J68" s="15" t="n">
        <v>349</v>
      </c>
    </row>
    <row r="69" customFormat="false" ht="15" hidden="false" customHeight="false" outlineLevel="0" collapsed="false">
      <c r="A69" s="1" t="s">
        <v>504</v>
      </c>
      <c r="B69" s="1" t="s">
        <v>645</v>
      </c>
      <c r="C69" s="1" t="s">
        <v>646</v>
      </c>
      <c r="D69" s="1" t="n">
        <v>1.44</v>
      </c>
      <c r="E69" s="1" t="s">
        <v>278</v>
      </c>
      <c r="F69" s="15" t="n">
        <v>699</v>
      </c>
      <c r="G69" s="15" t="n">
        <f aca="false">F69/D69</f>
        <v>485.416666666667</v>
      </c>
      <c r="H69" s="16" t="n">
        <f aca="false">(I69/G69-1)*-1</f>
        <v>0.178025751072961</v>
      </c>
      <c r="I69" s="15" t="n">
        <v>399</v>
      </c>
      <c r="J69" s="15" t="n">
        <v>389</v>
      </c>
    </row>
    <row r="70" customFormat="false" ht="15" hidden="false" customHeight="false" outlineLevel="0" collapsed="false">
      <c r="A70" s="1" t="s">
        <v>504</v>
      </c>
      <c r="B70" s="1" t="s">
        <v>647</v>
      </c>
      <c r="C70" s="1" t="s">
        <v>648</v>
      </c>
      <c r="D70" s="1" t="n">
        <v>1.44</v>
      </c>
      <c r="E70" s="1" t="s">
        <v>278</v>
      </c>
      <c r="F70" s="15" t="n">
        <v>709</v>
      </c>
      <c r="G70" s="15" t="n">
        <f aca="false">F70/D70</f>
        <v>492.361111111111</v>
      </c>
      <c r="H70" s="16" t="n">
        <f aca="false">(I70/G70-1)*-1</f>
        <v>0.189619181946403</v>
      </c>
      <c r="I70" s="15" t="n">
        <v>399</v>
      </c>
      <c r="J70" s="15" t="n">
        <v>389</v>
      </c>
    </row>
    <row r="71" customFormat="false" ht="15" hidden="false" customHeight="false" outlineLevel="0" collapsed="false">
      <c r="A71" s="1" t="s">
        <v>504</v>
      </c>
      <c r="B71" s="1" t="s">
        <v>649</v>
      </c>
      <c r="C71" s="1" t="s">
        <v>650</v>
      </c>
      <c r="D71" s="1" t="n">
        <v>1.44</v>
      </c>
      <c r="E71" s="1" t="s">
        <v>278</v>
      </c>
      <c r="F71" s="15" t="n">
        <v>709</v>
      </c>
      <c r="G71" s="15" t="n">
        <f aca="false">F71/D71</f>
        <v>492.361111111111</v>
      </c>
      <c r="H71" s="16" t="n">
        <f aca="false">(I71/G71-1)*-1</f>
        <v>0.189619181946403</v>
      </c>
      <c r="I71" s="15" t="n">
        <v>399</v>
      </c>
      <c r="J71" s="15" t="n">
        <v>389</v>
      </c>
    </row>
    <row r="72" customFormat="false" ht="15" hidden="false" customHeight="false" outlineLevel="0" collapsed="false">
      <c r="A72" s="1" t="s">
        <v>504</v>
      </c>
      <c r="B72" s="1" t="s">
        <v>651</v>
      </c>
      <c r="C72" s="1" t="s">
        <v>652</v>
      </c>
      <c r="D72" s="1" t="n">
        <v>1.44</v>
      </c>
      <c r="E72" s="1" t="s">
        <v>278</v>
      </c>
      <c r="F72" s="15" t="n">
        <v>709</v>
      </c>
      <c r="G72" s="15" t="n">
        <f aca="false">F72/D72</f>
        <v>492.361111111111</v>
      </c>
      <c r="H72" s="16" t="n">
        <f aca="false">(I72/G72-1)*-1</f>
        <v>0.189619181946403</v>
      </c>
      <c r="I72" s="15" t="n">
        <v>399</v>
      </c>
      <c r="J72" s="15" t="n">
        <v>389</v>
      </c>
    </row>
    <row r="73" customFormat="false" ht="15" hidden="false" customHeight="false" outlineLevel="0" collapsed="false">
      <c r="A73" s="1" t="s">
        <v>504</v>
      </c>
      <c r="B73" s="1" t="s">
        <v>653</v>
      </c>
      <c r="C73" s="1" t="s">
        <v>654</v>
      </c>
      <c r="D73" s="1" t="n">
        <v>1.44</v>
      </c>
      <c r="E73" s="1" t="s">
        <v>278</v>
      </c>
      <c r="F73" s="15" t="n">
        <v>709</v>
      </c>
      <c r="G73" s="15" t="n">
        <f aca="false">F73/D73</f>
        <v>492.361111111111</v>
      </c>
      <c r="H73" s="16" t="n">
        <f aca="false">(I73/G73-1)*-1</f>
        <v>0.189619181946403</v>
      </c>
      <c r="I73" s="15" t="n">
        <v>399</v>
      </c>
      <c r="J73" s="15" t="n">
        <v>389</v>
      </c>
    </row>
    <row r="74" customFormat="false" ht="15" hidden="false" customHeight="false" outlineLevel="0" collapsed="false">
      <c r="A74" s="1" t="s">
        <v>504</v>
      </c>
      <c r="B74" s="1" t="s">
        <v>655</v>
      </c>
      <c r="C74" s="1" t="s">
        <v>656</v>
      </c>
      <c r="D74" s="1" t="n">
        <v>1.44</v>
      </c>
      <c r="E74" s="1" t="s">
        <v>278</v>
      </c>
      <c r="F74" s="15" t="n">
        <v>709</v>
      </c>
      <c r="G74" s="15" t="n">
        <f aca="false">F74/D74</f>
        <v>492.361111111111</v>
      </c>
      <c r="H74" s="16" t="n">
        <f aca="false">(I74/G74-1)*-1</f>
        <v>0.189619181946403</v>
      </c>
      <c r="I74" s="15" t="n">
        <v>399</v>
      </c>
      <c r="J74" s="15" t="n">
        <v>389</v>
      </c>
    </row>
    <row r="75" customFormat="false" ht="15" hidden="false" customHeight="false" outlineLevel="0" collapsed="false">
      <c r="A75" s="1" t="s">
        <v>504</v>
      </c>
      <c r="B75" s="1" t="s">
        <v>657</v>
      </c>
      <c r="C75" s="1" t="s">
        <v>658</v>
      </c>
      <c r="D75" s="1" t="n">
        <v>1.44</v>
      </c>
      <c r="E75" s="1" t="s">
        <v>278</v>
      </c>
      <c r="F75" s="15" t="n">
        <v>709</v>
      </c>
      <c r="G75" s="15" t="n">
        <f aca="false">F75/D75</f>
        <v>492.361111111111</v>
      </c>
      <c r="H75" s="16" t="n">
        <f aca="false">(I75/G75-1)*-1</f>
        <v>0.169308885754584</v>
      </c>
      <c r="I75" s="15" t="n">
        <v>409</v>
      </c>
      <c r="J75" s="15" t="n">
        <v>399</v>
      </c>
    </row>
    <row r="76" customFormat="false" ht="15" hidden="false" customHeight="false" outlineLevel="0" collapsed="false">
      <c r="A76" s="1" t="s">
        <v>504</v>
      </c>
      <c r="B76" s="1" t="s">
        <v>659</v>
      </c>
      <c r="C76" s="1" t="s">
        <v>660</v>
      </c>
      <c r="D76" s="1" t="n">
        <v>1.44</v>
      </c>
      <c r="E76" s="1" t="s">
        <v>278</v>
      </c>
      <c r="F76" s="15" t="n">
        <v>709</v>
      </c>
      <c r="G76" s="15" t="n">
        <f aca="false">F76/D76</f>
        <v>492.361111111111</v>
      </c>
      <c r="H76" s="16" t="n">
        <f aca="false">(I76/G76-1)*-1</f>
        <v>0.169308885754584</v>
      </c>
      <c r="I76" s="15" t="n">
        <v>409</v>
      </c>
      <c r="J76" s="15" t="n">
        <v>399</v>
      </c>
    </row>
    <row r="77" customFormat="false" ht="15" hidden="false" customHeight="false" outlineLevel="0" collapsed="false">
      <c r="A77" s="1" t="s">
        <v>504</v>
      </c>
      <c r="B77" s="1" t="s">
        <v>661</v>
      </c>
      <c r="C77" s="1" t="s">
        <v>662</v>
      </c>
      <c r="D77" s="1" t="n">
        <v>1.44</v>
      </c>
      <c r="E77" s="1" t="s">
        <v>278</v>
      </c>
      <c r="F77" s="15" t="n">
        <v>892.58</v>
      </c>
      <c r="G77" s="15" t="n">
        <f aca="false">F77/D77</f>
        <v>619.847222222222</v>
      </c>
      <c r="H77" s="16" t="n">
        <f aca="false">(I77/G77-1)*-1</f>
        <v>0.307893970288378</v>
      </c>
      <c r="I77" s="15" t="n">
        <v>429</v>
      </c>
      <c r="J77" s="15" t="n">
        <v>419</v>
      </c>
    </row>
    <row r="78" customFormat="false" ht="15" hidden="false" customHeight="false" outlineLevel="0" collapsed="false">
      <c r="A78" s="1" t="s">
        <v>504</v>
      </c>
      <c r="B78" s="1" t="s">
        <v>663</v>
      </c>
      <c r="C78" s="1" t="s">
        <v>664</v>
      </c>
      <c r="D78" s="1" t="n">
        <v>1.44</v>
      </c>
      <c r="E78" s="1" t="s">
        <v>278</v>
      </c>
      <c r="F78" s="15" t="n">
        <v>726.98</v>
      </c>
      <c r="G78" s="15" t="n">
        <f aca="false">F78/D78</f>
        <v>504.847222222222</v>
      </c>
      <c r="H78" s="16" t="n">
        <f aca="false">(I78/G78-1)*-1</f>
        <v>0.15023797078324</v>
      </c>
      <c r="I78" s="15" t="n">
        <v>429</v>
      </c>
      <c r="J78" s="15" t="n">
        <v>329</v>
      </c>
    </row>
    <row r="79" customFormat="false" ht="15" hidden="false" customHeight="false" outlineLevel="0" collapsed="false">
      <c r="A79" s="1" t="s">
        <v>504</v>
      </c>
      <c r="B79" s="1" t="s">
        <v>665</v>
      </c>
      <c r="C79" s="1" t="s">
        <v>666</v>
      </c>
      <c r="D79" s="1" t="n">
        <v>1.44</v>
      </c>
      <c r="E79" s="1" t="s">
        <v>278</v>
      </c>
      <c r="F79" s="15" t="n">
        <v>699</v>
      </c>
      <c r="G79" s="15" t="n">
        <f aca="false">F79/D79</f>
        <v>485.416666666667</v>
      </c>
      <c r="H79" s="16" t="n">
        <f aca="false">(I79/G79-1)*-1</f>
        <v>0.116223175965665</v>
      </c>
      <c r="I79" s="15" t="n">
        <v>429</v>
      </c>
      <c r="J79" s="15" t="n">
        <v>319</v>
      </c>
    </row>
    <row r="80" customFormat="false" ht="15" hidden="false" customHeight="false" outlineLevel="0" collapsed="false">
      <c r="A80" s="1" t="s">
        <v>504</v>
      </c>
      <c r="B80" s="1" t="s">
        <v>667</v>
      </c>
      <c r="C80" s="1" t="s">
        <v>668</v>
      </c>
      <c r="D80" s="1" t="n">
        <v>1.44</v>
      </c>
      <c r="E80" s="1" t="s">
        <v>278</v>
      </c>
      <c r="F80" s="15" t="n">
        <v>739</v>
      </c>
      <c r="G80" s="15" t="n">
        <f aca="false">F80/D80</f>
        <v>513.194444444445</v>
      </c>
      <c r="H80" s="16" t="n">
        <f aca="false">(I80/G80-1)*-1</f>
        <v>0.164059539918809</v>
      </c>
      <c r="I80" s="15" t="n">
        <v>429</v>
      </c>
      <c r="J80" s="15" t="n">
        <v>419</v>
      </c>
    </row>
    <row r="81" customFormat="false" ht="15" hidden="false" customHeight="false" outlineLevel="0" collapsed="false">
      <c r="A81" s="1" t="s">
        <v>504</v>
      </c>
      <c r="B81" s="1" t="s">
        <v>669</v>
      </c>
      <c r="C81" s="1" t="s">
        <v>670</v>
      </c>
      <c r="D81" s="1" t="n">
        <v>1.44</v>
      </c>
      <c r="E81" s="1" t="s">
        <v>278</v>
      </c>
      <c r="F81" s="15" t="n">
        <v>739</v>
      </c>
      <c r="G81" s="15" t="n">
        <f aca="false">F81/D81</f>
        <v>513.194444444445</v>
      </c>
      <c r="H81" s="16" t="n">
        <f aca="false">(I81/G81-1)*-1</f>
        <v>0.164059539918809</v>
      </c>
      <c r="I81" s="15" t="n">
        <v>429</v>
      </c>
      <c r="J81" s="15" t="n">
        <v>419</v>
      </c>
    </row>
    <row r="82" customFormat="false" ht="15" hidden="false" customHeight="false" outlineLevel="0" collapsed="false">
      <c r="A82" s="1" t="s">
        <v>504</v>
      </c>
      <c r="B82" s="1" t="s">
        <v>671</v>
      </c>
      <c r="C82" s="1" t="s">
        <v>672</v>
      </c>
      <c r="D82" s="1" t="n">
        <v>1.44</v>
      </c>
      <c r="E82" s="1" t="s">
        <v>278</v>
      </c>
      <c r="F82" s="15" t="n">
        <v>739</v>
      </c>
      <c r="G82" s="15" t="n">
        <f aca="false">F82/D82</f>
        <v>513.194444444445</v>
      </c>
      <c r="H82" s="16" t="n">
        <f aca="false">(I82/G82-1)*-1</f>
        <v>0.164059539918809</v>
      </c>
      <c r="I82" s="15" t="n">
        <v>429</v>
      </c>
      <c r="J82" s="15" t="n">
        <v>409</v>
      </c>
    </row>
    <row r="83" customFormat="false" ht="15" hidden="false" customHeight="false" outlineLevel="0" collapsed="false">
      <c r="A83" s="1" t="s">
        <v>504</v>
      </c>
      <c r="B83" s="1" t="s">
        <v>673</v>
      </c>
      <c r="C83" s="1" t="s">
        <v>674</v>
      </c>
      <c r="D83" s="1" t="n">
        <v>1.44</v>
      </c>
      <c r="E83" s="1" t="s">
        <v>278</v>
      </c>
      <c r="F83" s="15" t="n">
        <v>739</v>
      </c>
      <c r="G83" s="15" t="n">
        <f aca="false">F83/D83</f>
        <v>513.194444444445</v>
      </c>
      <c r="H83" s="16" t="n">
        <f aca="false">(I83/G83-1)*-1</f>
        <v>0.164059539918809</v>
      </c>
      <c r="I83" s="15" t="n">
        <v>429</v>
      </c>
      <c r="J83" s="15" t="n">
        <v>409</v>
      </c>
    </row>
    <row r="84" customFormat="false" ht="15" hidden="false" customHeight="false" outlineLevel="0" collapsed="false">
      <c r="A84" s="1" t="s">
        <v>504</v>
      </c>
      <c r="B84" s="1" t="s">
        <v>675</v>
      </c>
      <c r="C84" s="1" t="s">
        <v>676</v>
      </c>
      <c r="D84" s="1" t="n">
        <v>1.44</v>
      </c>
      <c r="E84" s="1" t="s">
        <v>278</v>
      </c>
      <c r="F84" s="15" t="n">
        <v>1029</v>
      </c>
      <c r="G84" s="15" t="n">
        <f aca="false">F84/D84</f>
        <v>714.583333333333</v>
      </c>
      <c r="H84" s="16" t="n">
        <f aca="false">(I84/G84-1)*-1</f>
        <v>0.399650145772595</v>
      </c>
      <c r="I84" s="15" t="n">
        <v>429</v>
      </c>
      <c r="J84" s="15" t="n">
        <v>419</v>
      </c>
    </row>
    <row r="85" customFormat="false" ht="15" hidden="false" customHeight="false" outlineLevel="0" collapsed="false">
      <c r="A85" s="1" t="s">
        <v>504</v>
      </c>
      <c r="B85" s="1" t="s">
        <v>677</v>
      </c>
      <c r="C85" s="1" t="s">
        <v>678</v>
      </c>
      <c r="D85" s="1" t="n">
        <v>1.44</v>
      </c>
      <c r="E85" s="1" t="s">
        <v>278</v>
      </c>
      <c r="F85" s="15" t="n">
        <v>726.98</v>
      </c>
      <c r="G85" s="15" t="n">
        <f aca="false">F85/D85</f>
        <v>504.847222222222</v>
      </c>
      <c r="H85" s="16" t="n">
        <f aca="false">(I85/G85-1)*-1</f>
        <v>0.130429998074225</v>
      </c>
      <c r="I85" s="15" t="n">
        <v>439</v>
      </c>
      <c r="J85" s="15" t="n">
        <v>429</v>
      </c>
    </row>
    <row r="86" customFormat="false" ht="15" hidden="false" customHeight="false" outlineLevel="0" collapsed="false">
      <c r="A86" s="1" t="s">
        <v>504</v>
      </c>
      <c r="B86" s="1" t="s">
        <v>679</v>
      </c>
      <c r="C86" s="1" t="s">
        <v>680</v>
      </c>
      <c r="D86" s="1" t="n">
        <v>1.44</v>
      </c>
      <c r="E86" s="1" t="s">
        <v>278</v>
      </c>
      <c r="F86" s="15" t="n">
        <v>726.98</v>
      </c>
      <c r="G86" s="15" t="n">
        <f aca="false">F86/D86</f>
        <v>504.847222222222</v>
      </c>
      <c r="H86" s="16" t="n">
        <f aca="false">(I86/G86-1)*-1</f>
        <v>0.130429998074225</v>
      </c>
      <c r="I86" s="15" t="n">
        <v>439</v>
      </c>
      <c r="J86" s="15" t="n">
        <v>429</v>
      </c>
    </row>
    <row r="87" customFormat="false" ht="15" hidden="false" customHeight="false" outlineLevel="0" collapsed="false">
      <c r="A87" s="1" t="s">
        <v>504</v>
      </c>
      <c r="B87" s="1" t="s">
        <v>681</v>
      </c>
      <c r="C87" s="1" t="s">
        <v>682</v>
      </c>
      <c r="D87" s="1" t="n">
        <v>1.44</v>
      </c>
      <c r="E87" s="1" t="s">
        <v>278</v>
      </c>
      <c r="F87" s="15" t="n">
        <v>726.98</v>
      </c>
      <c r="G87" s="15" t="n">
        <f aca="false">F87/D87</f>
        <v>504.847222222222</v>
      </c>
      <c r="H87" s="16" t="n">
        <f aca="false">(I87/G87-1)*-1</f>
        <v>0.130429998074225</v>
      </c>
      <c r="I87" s="15" t="n">
        <v>439</v>
      </c>
      <c r="J87" s="15" t="n">
        <v>429</v>
      </c>
    </row>
    <row r="88" customFormat="false" ht="15" hidden="false" customHeight="false" outlineLevel="0" collapsed="false">
      <c r="A88" s="1" t="s">
        <v>504</v>
      </c>
      <c r="B88" s="1" t="s">
        <v>683</v>
      </c>
      <c r="C88" s="1" t="s">
        <v>684</v>
      </c>
      <c r="D88" s="1" t="n">
        <v>1.44</v>
      </c>
      <c r="E88" s="1" t="s">
        <v>278</v>
      </c>
      <c r="F88" s="15" t="n">
        <v>726.98</v>
      </c>
      <c r="G88" s="15" t="n">
        <f aca="false">F88/D88</f>
        <v>504.847222222222</v>
      </c>
      <c r="H88" s="16" t="n">
        <f aca="false">(I88/G88-1)*-1</f>
        <v>0.348317697873394</v>
      </c>
      <c r="I88" s="15" t="n">
        <v>329</v>
      </c>
      <c r="J88" s="15" t="n">
        <v>299</v>
      </c>
      <c r="K88" s="11" t="s">
        <v>524</v>
      </c>
    </row>
    <row r="89" customFormat="false" ht="15" hidden="false" customHeight="false" outlineLevel="0" collapsed="false">
      <c r="A89" s="1" t="s">
        <v>504</v>
      </c>
      <c r="B89" s="1" t="s">
        <v>685</v>
      </c>
      <c r="C89" s="1" t="s">
        <v>686</v>
      </c>
      <c r="D89" s="1" t="n">
        <v>1.44</v>
      </c>
      <c r="E89" s="1" t="s">
        <v>278</v>
      </c>
      <c r="F89" s="15" t="n">
        <v>726.98</v>
      </c>
      <c r="G89" s="15" t="n">
        <f aca="false">F89/D89</f>
        <v>504.847222222222</v>
      </c>
      <c r="H89" s="16" t="n">
        <f aca="false">(I89/G89-1)*-1</f>
        <v>0.130429998074225</v>
      </c>
      <c r="I89" s="15" t="n">
        <v>439</v>
      </c>
      <c r="J89" s="15" t="n">
        <v>299</v>
      </c>
      <c r="K89" s="11" t="s">
        <v>524</v>
      </c>
    </row>
    <row r="90" customFormat="false" ht="15" hidden="false" customHeight="false" outlineLevel="0" collapsed="false">
      <c r="A90" s="1" t="s">
        <v>504</v>
      </c>
      <c r="B90" s="1" t="s">
        <v>687</v>
      </c>
      <c r="C90" s="1" t="s">
        <v>688</v>
      </c>
      <c r="D90" s="1" t="n">
        <v>1.44</v>
      </c>
      <c r="E90" s="1" t="s">
        <v>278</v>
      </c>
      <c r="F90" s="15" t="n">
        <v>726.98</v>
      </c>
      <c r="G90" s="15" t="n">
        <f aca="false">F90/D90</f>
        <v>504.847222222222</v>
      </c>
      <c r="H90" s="16" t="n">
        <f aca="false">(I90/G90-1)*-1</f>
        <v>0.130429998074225</v>
      </c>
      <c r="I90" s="15" t="n">
        <v>439</v>
      </c>
      <c r="J90" s="15" t="n">
        <v>359</v>
      </c>
    </row>
    <row r="91" customFormat="false" ht="15" hidden="false" customHeight="false" outlineLevel="0" collapsed="false">
      <c r="A91" s="1" t="s">
        <v>504</v>
      </c>
      <c r="B91" s="1" t="s">
        <v>689</v>
      </c>
      <c r="C91" s="1" t="s">
        <v>690</v>
      </c>
      <c r="D91" s="1" t="n">
        <v>1.44</v>
      </c>
      <c r="E91" s="1" t="s">
        <v>278</v>
      </c>
      <c r="F91" s="15" t="n">
        <v>726.98</v>
      </c>
      <c r="G91" s="15" t="n">
        <f aca="false">F91/D91</f>
        <v>504.847222222222</v>
      </c>
      <c r="H91" s="16" t="n">
        <f aca="false">(I91/G91-1)*-1</f>
        <v>0.130429998074225</v>
      </c>
      <c r="I91" s="15" t="n">
        <v>439</v>
      </c>
      <c r="J91" s="15" t="n">
        <v>429</v>
      </c>
    </row>
    <row r="92" customFormat="false" ht="15" hidden="false" customHeight="false" outlineLevel="0" collapsed="false">
      <c r="A92" s="1" t="s">
        <v>504</v>
      </c>
      <c r="B92" s="1" t="s">
        <v>691</v>
      </c>
      <c r="C92" s="1" t="s">
        <v>692</v>
      </c>
      <c r="D92" s="1" t="n">
        <v>1.44</v>
      </c>
      <c r="E92" s="1" t="s">
        <v>278</v>
      </c>
      <c r="F92" s="15" t="n">
        <v>726.98</v>
      </c>
      <c r="G92" s="15" t="n">
        <f aca="false">F92/D92</f>
        <v>504.847222222222</v>
      </c>
      <c r="H92" s="16" t="n">
        <f aca="false">(I92/G92-1)*-1</f>
        <v>0.130429998074225</v>
      </c>
      <c r="I92" s="15" t="n">
        <v>439</v>
      </c>
      <c r="J92" s="15" t="n">
        <v>359</v>
      </c>
    </row>
    <row r="93" customFormat="false" ht="15" hidden="false" customHeight="false" outlineLevel="0" collapsed="false">
      <c r="A93" s="1" t="s">
        <v>504</v>
      </c>
      <c r="B93" s="1" t="s">
        <v>693</v>
      </c>
      <c r="C93" s="1" t="s">
        <v>694</v>
      </c>
      <c r="D93" s="1" t="n">
        <v>1.44</v>
      </c>
      <c r="E93" s="1" t="s">
        <v>278</v>
      </c>
      <c r="F93" s="15" t="n">
        <v>726.98</v>
      </c>
      <c r="G93" s="15" t="n">
        <f aca="false">F93/D93</f>
        <v>504.847222222222</v>
      </c>
      <c r="H93" s="16" t="n">
        <f aca="false">(I93/G93-1)*-1</f>
        <v>0.130429998074225</v>
      </c>
      <c r="I93" s="15" t="n">
        <v>439</v>
      </c>
      <c r="J93" s="15" t="n">
        <v>429</v>
      </c>
    </row>
    <row r="94" customFormat="false" ht="15" hidden="false" customHeight="false" outlineLevel="0" collapsed="false">
      <c r="A94" s="1" t="s">
        <v>504</v>
      </c>
      <c r="B94" s="1" t="s">
        <v>695</v>
      </c>
      <c r="C94" s="1" t="s">
        <v>696</v>
      </c>
      <c r="D94" s="1" t="n">
        <v>1.44</v>
      </c>
      <c r="E94" s="1" t="s">
        <v>278</v>
      </c>
      <c r="F94" s="15" t="n">
        <v>726.98</v>
      </c>
      <c r="G94" s="15" t="n">
        <f aca="false">F94/D94</f>
        <v>504.847222222222</v>
      </c>
      <c r="H94" s="16" t="n">
        <f aca="false">(I94/G94-1)*-1</f>
        <v>0.130429998074225</v>
      </c>
      <c r="I94" s="15" t="n">
        <v>439</v>
      </c>
      <c r="J94" s="15" t="n">
        <v>429</v>
      </c>
    </row>
    <row r="95" customFormat="false" ht="15" hidden="false" customHeight="false" outlineLevel="0" collapsed="false">
      <c r="A95" s="1" t="s">
        <v>504</v>
      </c>
      <c r="B95" s="1" t="s">
        <v>697</v>
      </c>
      <c r="C95" s="1" t="s">
        <v>698</v>
      </c>
      <c r="D95" s="1" t="n">
        <v>1.44</v>
      </c>
      <c r="E95" s="1" t="s">
        <v>278</v>
      </c>
      <c r="F95" s="15" t="n">
        <v>726.98</v>
      </c>
      <c r="G95" s="15" t="n">
        <f aca="false">F95/D95</f>
        <v>504.847222222222</v>
      </c>
      <c r="H95" s="16" t="n">
        <f aca="false">(I95/G95-1)*-1</f>
        <v>0.130429998074225</v>
      </c>
      <c r="I95" s="15" t="n">
        <v>439</v>
      </c>
      <c r="J95" s="15" t="n">
        <v>429</v>
      </c>
    </row>
    <row r="96" customFormat="false" ht="15" hidden="false" customHeight="false" outlineLevel="0" collapsed="false">
      <c r="A96" s="1" t="s">
        <v>504</v>
      </c>
      <c r="B96" s="1" t="s">
        <v>699</v>
      </c>
      <c r="C96" s="1" t="s">
        <v>700</v>
      </c>
      <c r="D96" s="1" t="n">
        <v>1.44</v>
      </c>
      <c r="E96" s="1" t="s">
        <v>278</v>
      </c>
      <c r="F96" s="15" t="n">
        <v>726.98</v>
      </c>
      <c r="G96" s="15" t="n">
        <f aca="false">F96/D96</f>
        <v>504.847222222222</v>
      </c>
      <c r="H96" s="16" t="n">
        <f aca="false">(I96/G96-1)*-1</f>
        <v>0.130429998074225</v>
      </c>
      <c r="I96" s="15" t="n">
        <v>439</v>
      </c>
      <c r="J96" s="15" t="n">
        <v>429</v>
      </c>
    </row>
    <row r="97" customFormat="false" ht="15" hidden="false" customHeight="false" outlineLevel="0" collapsed="false">
      <c r="A97" s="1" t="s">
        <v>504</v>
      </c>
      <c r="B97" s="1" t="s">
        <v>701</v>
      </c>
      <c r="C97" s="1" t="s">
        <v>702</v>
      </c>
      <c r="D97" s="1" t="n">
        <v>1.44</v>
      </c>
      <c r="E97" s="1" t="s">
        <v>278</v>
      </c>
      <c r="F97" s="15" t="n">
        <v>726.98</v>
      </c>
      <c r="G97" s="15" t="n">
        <f aca="false">F97/D97</f>
        <v>504.847222222222</v>
      </c>
      <c r="H97" s="16" t="n">
        <f aca="false">(I97/G97-1)*-1</f>
        <v>0.130429998074225</v>
      </c>
      <c r="I97" s="15" t="n">
        <v>439</v>
      </c>
      <c r="J97" s="15" t="n">
        <v>299</v>
      </c>
      <c r="K97" s="11" t="s">
        <v>524</v>
      </c>
    </row>
    <row r="98" customFormat="false" ht="15" hidden="false" customHeight="false" outlineLevel="0" collapsed="false">
      <c r="A98" s="1" t="s">
        <v>504</v>
      </c>
      <c r="B98" s="1" t="s">
        <v>703</v>
      </c>
      <c r="C98" s="1" t="s">
        <v>704</v>
      </c>
      <c r="D98" s="1" t="n">
        <v>1.44</v>
      </c>
      <c r="E98" s="1" t="s">
        <v>278</v>
      </c>
      <c r="F98" s="15" t="n">
        <v>726.98</v>
      </c>
      <c r="G98" s="15" t="n">
        <f aca="false">F98/D98</f>
        <v>504.847222222222</v>
      </c>
      <c r="H98" s="16" t="n">
        <f aca="false">(I98/G98-1)*-1</f>
        <v>0.130429998074225</v>
      </c>
      <c r="I98" s="15" t="n">
        <v>439</v>
      </c>
      <c r="J98" s="15" t="n">
        <v>359</v>
      </c>
    </row>
    <row r="99" customFormat="false" ht="15" hidden="false" customHeight="false" outlineLevel="0" collapsed="false">
      <c r="A99" s="1" t="s">
        <v>504</v>
      </c>
      <c r="B99" s="1" t="s">
        <v>705</v>
      </c>
      <c r="C99" s="1" t="s">
        <v>706</v>
      </c>
      <c r="D99" s="1" t="n">
        <v>1.44</v>
      </c>
      <c r="E99" s="1" t="s">
        <v>278</v>
      </c>
      <c r="F99" s="15" t="n">
        <v>726.98</v>
      </c>
      <c r="G99" s="15" t="n">
        <f aca="false">F99/D99</f>
        <v>504.847222222222</v>
      </c>
      <c r="H99" s="16" t="n">
        <f aca="false">(I99/G99-1)*-1</f>
        <v>0.130429998074225</v>
      </c>
      <c r="I99" s="15" t="n">
        <v>439</v>
      </c>
      <c r="J99" s="15" t="n">
        <v>429</v>
      </c>
    </row>
    <row r="100" customFormat="false" ht="15" hidden="false" customHeight="false" outlineLevel="0" collapsed="false">
      <c r="A100" s="1" t="s">
        <v>504</v>
      </c>
      <c r="B100" s="1" t="s">
        <v>707</v>
      </c>
      <c r="C100" s="1" t="s">
        <v>708</v>
      </c>
      <c r="D100" s="1" t="n">
        <v>1.44</v>
      </c>
      <c r="E100" s="1" t="s">
        <v>278</v>
      </c>
      <c r="F100" s="15" t="n">
        <v>726.98</v>
      </c>
      <c r="G100" s="15" t="n">
        <f aca="false">F100/D100</f>
        <v>504.847222222222</v>
      </c>
      <c r="H100" s="16" t="n">
        <f aca="false">(I100/G100-1)*-1</f>
        <v>0.130429998074225</v>
      </c>
      <c r="I100" s="15" t="n">
        <v>439</v>
      </c>
      <c r="J100" s="15" t="n">
        <v>429</v>
      </c>
    </row>
    <row r="101" customFormat="false" ht="15" hidden="false" customHeight="false" outlineLevel="0" collapsed="false">
      <c r="A101" s="1" t="s">
        <v>504</v>
      </c>
      <c r="B101" s="1" t="s">
        <v>709</v>
      </c>
      <c r="C101" s="1" t="s">
        <v>710</v>
      </c>
      <c r="D101" s="1" t="n">
        <v>1.44</v>
      </c>
      <c r="E101" s="1" t="s">
        <v>278</v>
      </c>
      <c r="F101" s="15" t="n">
        <v>726.98</v>
      </c>
      <c r="G101" s="15" t="n">
        <f aca="false">F101/D101</f>
        <v>504.847222222222</v>
      </c>
      <c r="H101" s="16" t="n">
        <f aca="false">(I101/G101-1)*-1</f>
        <v>0.130429998074225</v>
      </c>
      <c r="I101" s="15" t="n">
        <v>439</v>
      </c>
      <c r="J101" s="15" t="n">
        <v>299</v>
      </c>
      <c r="K101" s="11" t="s">
        <v>524</v>
      </c>
    </row>
    <row r="102" customFormat="false" ht="15" hidden="false" customHeight="false" outlineLevel="0" collapsed="false">
      <c r="A102" s="1" t="s">
        <v>504</v>
      </c>
      <c r="B102" s="1" t="s">
        <v>711</v>
      </c>
      <c r="C102" s="1" t="s">
        <v>712</v>
      </c>
      <c r="D102" s="1" t="n">
        <v>1.44</v>
      </c>
      <c r="E102" s="1" t="s">
        <v>278</v>
      </c>
      <c r="F102" s="15" t="n">
        <v>726.98</v>
      </c>
      <c r="G102" s="15" t="n">
        <f aca="false">F102/D102</f>
        <v>504.847222222222</v>
      </c>
      <c r="H102" s="16" t="n">
        <f aca="false">(I102/G102-1)*-1</f>
        <v>0.130429998074225</v>
      </c>
      <c r="I102" s="15" t="n">
        <v>439</v>
      </c>
      <c r="J102" s="15" t="n">
        <v>359</v>
      </c>
    </row>
    <row r="103" customFormat="false" ht="15" hidden="false" customHeight="false" outlineLevel="0" collapsed="false">
      <c r="A103" s="1" t="s">
        <v>504</v>
      </c>
      <c r="B103" s="1" t="s">
        <v>713</v>
      </c>
      <c r="C103" s="1" t="s">
        <v>714</v>
      </c>
      <c r="D103" s="1" t="n">
        <v>1.44</v>
      </c>
      <c r="E103" s="1" t="s">
        <v>278</v>
      </c>
      <c r="F103" s="15" t="n">
        <v>726.98</v>
      </c>
      <c r="G103" s="15" t="n">
        <f aca="false">F103/D103</f>
        <v>504.847222222222</v>
      </c>
      <c r="H103" s="16" t="n">
        <f aca="false">(I103/G103-1)*-1</f>
        <v>0.130429998074225</v>
      </c>
      <c r="I103" s="15" t="n">
        <v>439</v>
      </c>
      <c r="J103" s="15" t="n">
        <v>359</v>
      </c>
    </row>
    <row r="104" customFormat="false" ht="15" hidden="false" customHeight="false" outlineLevel="0" collapsed="false">
      <c r="A104" s="1" t="s">
        <v>504</v>
      </c>
      <c r="B104" s="1" t="s">
        <v>715</v>
      </c>
      <c r="C104" s="1" t="s">
        <v>716</v>
      </c>
      <c r="D104" s="1" t="n">
        <v>1.44</v>
      </c>
      <c r="E104" s="1" t="s">
        <v>278</v>
      </c>
      <c r="F104" s="15" t="n">
        <v>726.98</v>
      </c>
      <c r="G104" s="15" t="n">
        <f aca="false">F104/D104</f>
        <v>504.847222222222</v>
      </c>
      <c r="H104" s="16" t="n">
        <f aca="false">(I104/G104-1)*-1</f>
        <v>0.130429998074225</v>
      </c>
      <c r="I104" s="15" t="n">
        <v>439</v>
      </c>
      <c r="J104" s="15" t="n">
        <v>359</v>
      </c>
    </row>
    <row r="105" customFormat="false" ht="15" hidden="false" customHeight="false" outlineLevel="0" collapsed="false">
      <c r="A105" s="1" t="s">
        <v>504</v>
      </c>
      <c r="B105" s="1" t="s">
        <v>717</v>
      </c>
      <c r="C105" s="1" t="s">
        <v>718</v>
      </c>
      <c r="D105" s="1" t="n">
        <v>1.44</v>
      </c>
      <c r="E105" s="1" t="s">
        <v>278</v>
      </c>
      <c r="F105" s="15" t="n">
        <v>726.98</v>
      </c>
      <c r="G105" s="15" t="n">
        <f aca="false">F105/D105</f>
        <v>504.847222222222</v>
      </c>
      <c r="H105" s="16" t="n">
        <f aca="false">(I105/G105-1)*-1</f>
        <v>0.130429998074225</v>
      </c>
      <c r="I105" s="15" t="n">
        <v>439</v>
      </c>
      <c r="J105" s="15" t="n">
        <v>429</v>
      </c>
    </row>
    <row r="106" customFormat="false" ht="15" hidden="false" customHeight="false" outlineLevel="0" collapsed="false">
      <c r="A106" s="1" t="s">
        <v>504</v>
      </c>
      <c r="B106" s="1" t="s">
        <v>719</v>
      </c>
      <c r="C106" s="1" t="s">
        <v>720</v>
      </c>
      <c r="D106" s="1" t="n">
        <v>1.44</v>
      </c>
      <c r="E106" s="1" t="s">
        <v>278</v>
      </c>
      <c r="F106" s="15" t="n">
        <v>726.98</v>
      </c>
      <c r="G106" s="15" t="n">
        <f aca="false">F106/D106</f>
        <v>504.847222222222</v>
      </c>
      <c r="H106" s="16" t="n">
        <f aca="false">(I106/G106-1)*-1</f>
        <v>0.130429998074225</v>
      </c>
      <c r="I106" s="15" t="n">
        <v>439</v>
      </c>
      <c r="J106" s="15" t="n">
        <v>429</v>
      </c>
    </row>
    <row r="107" customFormat="false" ht="15" hidden="false" customHeight="false" outlineLevel="0" collapsed="false">
      <c r="A107" s="1" t="s">
        <v>504</v>
      </c>
      <c r="B107" s="1" t="s">
        <v>721</v>
      </c>
      <c r="C107" s="1" t="s">
        <v>722</v>
      </c>
      <c r="D107" s="1" t="n">
        <v>1.44</v>
      </c>
      <c r="E107" s="1" t="s">
        <v>278</v>
      </c>
      <c r="F107" s="15" t="n">
        <v>726.98</v>
      </c>
      <c r="G107" s="15" t="n">
        <f aca="false">F107/D107</f>
        <v>504.847222222222</v>
      </c>
      <c r="H107" s="16" t="n">
        <f aca="false">(I107/G107-1)*-1</f>
        <v>0.130429998074225</v>
      </c>
      <c r="I107" s="15" t="n">
        <v>439</v>
      </c>
      <c r="J107" s="15" t="n">
        <v>429</v>
      </c>
    </row>
    <row r="108" customFormat="false" ht="15" hidden="false" customHeight="false" outlineLevel="0" collapsed="false">
      <c r="A108" s="1" t="s">
        <v>504</v>
      </c>
      <c r="B108" s="1" t="s">
        <v>723</v>
      </c>
      <c r="C108" s="1" t="s">
        <v>724</v>
      </c>
      <c r="D108" s="1" t="n">
        <v>1.44</v>
      </c>
      <c r="E108" s="1" t="s">
        <v>278</v>
      </c>
      <c r="F108" s="15" t="n">
        <v>726.98</v>
      </c>
      <c r="G108" s="15" t="n">
        <f aca="false">F108/D108</f>
        <v>504.847222222222</v>
      </c>
      <c r="H108" s="16" t="n">
        <f aca="false">(I108/G108-1)*-1</f>
        <v>0.130429998074225</v>
      </c>
      <c r="I108" s="15" t="n">
        <v>439</v>
      </c>
      <c r="J108" s="15" t="n">
        <v>429</v>
      </c>
    </row>
    <row r="109" customFormat="false" ht="15" hidden="false" customHeight="false" outlineLevel="0" collapsed="false">
      <c r="A109" s="1" t="s">
        <v>504</v>
      </c>
      <c r="B109" s="1" t="s">
        <v>725</v>
      </c>
      <c r="C109" s="1" t="s">
        <v>726</v>
      </c>
      <c r="D109" s="1" t="n">
        <v>1.44</v>
      </c>
      <c r="E109" s="1" t="s">
        <v>278</v>
      </c>
      <c r="F109" s="15" t="n">
        <v>726.98</v>
      </c>
      <c r="G109" s="15" t="n">
        <f aca="false">F109/D109</f>
        <v>504.847222222222</v>
      </c>
      <c r="H109" s="16" t="n">
        <f aca="false">(I109/G109-1)*-1</f>
        <v>0.130429998074225</v>
      </c>
      <c r="I109" s="15" t="n">
        <v>439</v>
      </c>
      <c r="J109" s="15" t="n">
        <v>359</v>
      </c>
    </row>
    <row r="110" customFormat="false" ht="15" hidden="false" customHeight="false" outlineLevel="0" collapsed="false">
      <c r="A110" s="1" t="s">
        <v>504</v>
      </c>
      <c r="B110" s="1" t="s">
        <v>727</v>
      </c>
      <c r="C110" s="1" t="s">
        <v>728</v>
      </c>
      <c r="D110" s="1" t="n">
        <v>2.16</v>
      </c>
      <c r="E110" s="1" t="s">
        <v>278</v>
      </c>
      <c r="F110" s="15" t="n">
        <v>1090.48</v>
      </c>
      <c r="G110" s="15" t="n">
        <f aca="false">F110/D110</f>
        <v>504.851851851852</v>
      </c>
      <c r="H110" s="16" t="n">
        <f aca="false">(I110/G110-1)*-1</f>
        <v>0.130437972269092</v>
      </c>
      <c r="I110" s="15" t="n">
        <v>439</v>
      </c>
      <c r="J110" s="15" t="n">
        <v>429</v>
      </c>
    </row>
    <row r="111" customFormat="false" ht="15" hidden="false" customHeight="false" outlineLevel="0" collapsed="false">
      <c r="A111" s="1" t="s">
        <v>504</v>
      </c>
      <c r="B111" s="1" t="s">
        <v>729</v>
      </c>
      <c r="C111" s="1" t="s">
        <v>730</v>
      </c>
      <c r="D111" s="1" t="n">
        <v>2.16</v>
      </c>
      <c r="E111" s="1" t="s">
        <v>278</v>
      </c>
      <c r="F111" s="15" t="n">
        <v>1090.48</v>
      </c>
      <c r="G111" s="15" t="n">
        <f aca="false">F111/D111</f>
        <v>504.851851851852</v>
      </c>
      <c r="H111" s="16" t="n">
        <f aca="false">(I111/G111-1)*-1</f>
        <v>0.130437972269092</v>
      </c>
      <c r="I111" s="15" t="n">
        <v>439</v>
      </c>
      <c r="J111" s="15" t="n">
        <v>429</v>
      </c>
    </row>
    <row r="112" customFormat="false" ht="15" hidden="false" customHeight="false" outlineLevel="0" collapsed="false">
      <c r="A112" s="1" t="s">
        <v>504</v>
      </c>
      <c r="B112" s="1" t="s">
        <v>731</v>
      </c>
      <c r="C112" s="1" t="s">
        <v>732</v>
      </c>
      <c r="D112" s="1" t="n">
        <v>2.16</v>
      </c>
      <c r="E112" s="1" t="s">
        <v>278</v>
      </c>
      <c r="F112" s="15" t="n">
        <v>1090.48</v>
      </c>
      <c r="G112" s="15" t="n">
        <f aca="false">F112/D112</f>
        <v>504.851851851852</v>
      </c>
      <c r="H112" s="16" t="n">
        <f aca="false">(I112/G112-1)*-1</f>
        <v>0.130437972269092</v>
      </c>
      <c r="I112" s="15" t="n">
        <v>439</v>
      </c>
      <c r="J112" s="15" t="n">
        <v>429</v>
      </c>
    </row>
    <row r="113" customFormat="false" ht="15" hidden="false" customHeight="false" outlineLevel="0" collapsed="false">
      <c r="A113" s="1" t="s">
        <v>504</v>
      </c>
      <c r="B113" s="1" t="s">
        <v>733</v>
      </c>
      <c r="C113" s="1" t="s">
        <v>734</v>
      </c>
      <c r="D113" s="1" t="n">
        <v>2.16</v>
      </c>
      <c r="E113" s="1" t="s">
        <v>278</v>
      </c>
      <c r="F113" s="15" t="n">
        <v>1090.48</v>
      </c>
      <c r="G113" s="15" t="n">
        <f aca="false">F113/D113</f>
        <v>504.851851851852</v>
      </c>
      <c r="H113" s="16" t="n">
        <f aca="false">(I113/G113-1)*-1</f>
        <v>0.130437972269092</v>
      </c>
      <c r="I113" s="15" t="n">
        <v>439</v>
      </c>
      <c r="J113" s="15" t="n">
        <v>379</v>
      </c>
    </row>
    <row r="114" customFormat="false" ht="15" hidden="false" customHeight="false" outlineLevel="0" collapsed="false">
      <c r="A114" s="1" t="s">
        <v>504</v>
      </c>
      <c r="B114" s="1" t="s">
        <v>735</v>
      </c>
      <c r="C114" s="1" t="s">
        <v>736</v>
      </c>
      <c r="D114" s="1" t="n">
        <v>1.44</v>
      </c>
      <c r="E114" s="1" t="s">
        <v>278</v>
      </c>
      <c r="F114" s="15" t="n">
        <v>809</v>
      </c>
      <c r="G114" s="15" t="n">
        <f aca="false">F114/D114</f>
        <v>561.805555555556</v>
      </c>
      <c r="H114" s="16" t="n">
        <f aca="false">(I114/G114-1)*-1</f>
        <v>0.200791100123609</v>
      </c>
      <c r="I114" s="15" t="n">
        <v>449</v>
      </c>
      <c r="J114" s="15" t="n">
        <v>439</v>
      </c>
    </row>
    <row r="115" customFormat="false" ht="15" hidden="false" customHeight="false" outlineLevel="0" collapsed="false">
      <c r="A115" s="1" t="s">
        <v>504</v>
      </c>
      <c r="B115" s="1" t="s">
        <v>737</v>
      </c>
      <c r="C115" s="1" t="s">
        <v>738</v>
      </c>
      <c r="D115" s="1" t="n">
        <v>1.44</v>
      </c>
      <c r="E115" s="1" t="s">
        <v>278</v>
      </c>
      <c r="F115" s="15" t="n">
        <v>1029</v>
      </c>
      <c r="G115" s="15" t="n">
        <f aca="false">F115/D115</f>
        <v>714.583333333333</v>
      </c>
      <c r="H115" s="16" t="n">
        <f aca="false">(I115/G115-1)*-1</f>
        <v>0.371661807580175</v>
      </c>
      <c r="I115" s="15" t="n">
        <v>449</v>
      </c>
      <c r="J115" s="15" t="n">
        <v>359</v>
      </c>
    </row>
    <row r="116" customFormat="false" ht="15" hidden="false" customHeight="false" outlineLevel="0" collapsed="false">
      <c r="A116" s="1" t="s">
        <v>504</v>
      </c>
      <c r="B116" s="1" t="s">
        <v>739</v>
      </c>
      <c r="C116" s="1" t="s">
        <v>740</v>
      </c>
      <c r="D116" s="1" t="n">
        <v>1.44</v>
      </c>
      <c r="E116" s="1" t="s">
        <v>278</v>
      </c>
      <c r="F116" s="15" t="n">
        <v>1029</v>
      </c>
      <c r="G116" s="15" t="n">
        <f aca="false">F116/D116</f>
        <v>714.583333333333</v>
      </c>
      <c r="H116" s="16" t="n">
        <f aca="false">(I116/G116-1)*-1</f>
        <v>0.371661807580175</v>
      </c>
      <c r="I116" s="15" t="n">
        <v>449</v>
      </c>
      <c r="J116" s="15" t="n">
        <v>439</v>
      </c>
    </row>
    <row r="117" customFormat="false" ht="15" hidden="false" customHeight="false" outlineLevel="0" collapsed="false">
      <c r="A117" s="1" t="s">
        <v>504</v>
      </c>
      <c r="B117" s="1" t="s">
        <v>741</v>
      </c>
      <c r="C117" s="1" t="s">
        <v>742</v>
      </c>
      <c r="D117" s="1" t="n">
        <v>1.44</v>
      </c>
      <c r="E117" s="1" t="s">
        <v>278</v>
      </c>
      <c r="F117" s="15" t="n">
        <v>1029</v>
      </c>
      <c r="G117" s="15" t="n">
        <f aca="false">F117/D117</f>
        <v>714.583333333333</v>
      </c>
      <c r="H117" s="16" t="n">
        <f aca="false">(I117/G117-1)*-1</f>
        <v>0.371661807580175</v>
      </c>
      <c r="I117" s="15" t="n">
        <v>449</v>
      </c>
      <c r="J117" s="15" t="n">
        <v>439</v>
      </c>
    </row>
    <row r="118" customFormat="false" ht="15" hidden="false" customHeight="false" outlineLevel="0" collapsed="false">
      <c r="A118" s="1" t="s">
        <v>504</v>
      </c>
      <c r="B118" s="1" t="s">
        <v>743</v>
      </c>
      <c r="C118" s="1" t="s">
        <v>744</v>
      </c>
      <c r="D118" s="1" t="n">
        <v>1.44</v>
      </c>
      <c r="E118" s="1" t="s">
        <v>278</v>
      </c>
      <c r="F118" s="15" t="n">
        <v>809</v>
      </c>
      <c r="G118" s="15" t="n">
        <f aca="false">F118/D118</f>
        <v>561.805555555556</v>
      </c>
      <c r="H118" s="16" t="n">
        <f aca="false">(I118/G118-1)*-1</f>
        <v>0.182991347342398</v>
      </c>
      <c r="I118" s="15" t="n">
        <v>459</v>
      </c>
      <c r="J118" s="15" t="n">
        <v>449</v>
      </c>
    </row>
    <row r="119" customFormat="false" ht="15" hidden="false" customHeight="false" outlineLevel="0" collapsed="false">
      <c r="A119" s="1" t="s">
        <v>504</v>
      </c>
      <c r="B119" s="1" t="s">
        <v>745</v>
      </c>
      <c r="C119" s="1" t="s">
        <v>746</v>
      </c>
      <c r="D119" s="1" t="n">
        <v>1.44</v>
      </c>
      <c r="E119" s="1" t="s">
        <v>278</v>
      </c>
      <c r="F119" s="15" t="n">
        <v>899</v>
      </c>
      <c r="G119" s="15" t="n">
        <f aca="false">F119/D119</f>
        <v>624.305555555556</v>
      </c>
      <c r="H119" s="16" t="n">
        <f aca="false">(I119/G119-1)*-1</f>
        <v>0.248765294771969</v>
      </c>
      <c r="I119" s="15" t="n">
        <v>469</v>
      </c>
      <c r="J119" s="15" t="n">
        <v>459</v>
      </c>
    </row>
    <row r="120" customFormat="false" ht="15" hidden="false" customHeight="false" outlineLevel="0" collapsed="false">
      <c r="A120" s="1" t="s">
        <v>504</v>
      </c>
      <c r="B120" s="1" t="s">
        <v>747</v>
      </c>
      <c r="C120" s="1" t="s">
        <v>748</v>
      </c>
      <c r="D120" s="1" t="n">
        <v>1.44</v>
      </c>
      <c r="E120" s="1" t="s">
        <v>278</v>
      </c>
      <c r="F120" s="15" t="n">
        <v>899</v>
      </c>
      <c r="G120" s="15" t="n">
        <f aca="false">F120/D120</f>
        <v>624.305555555556</v>
      </c>
      <c r="H120" s="16" t="n">
        <f aca="false">(I120/G120-1)*-1</f>
        <v>0.248765294771969</v>
      </c>
      <c r="I120" s="15" t="n">
        <v>469</v>
      </c>
      <c r="J120" s="15" t="n">
        <v>459</v>
      </c>
    </row>
    <row r="121" customFormat="false" ht="15" hidden="false" customHeight="false" outlineLevel="0" collapsed="false">
      <c r="A121" s="1" t="s">
        <v>504</v>
      </c>
      <c r="B121" s="1" t="s">
        <v>749</v>
      </c>
      <c r="C121" s="1" t="s">
        <v>750</v>
      </c>
      <c r="D121" s="1" t="n">
        <v>1.44</v>
      </c>
      <c r="E121" s="1" t="s">
        <v>278</v>
      </c>
      <c r="F121" s="15" t="n">
        <v>899</v>
      </c>
      <c r="G121" s="15" t="n">
        <f aca="false">F121/D121</f>
        <v>624.305555555556</v>
      </c>
      <c r="H121" s="16" t="n">
        <f aca="false">(I121/G121-1)*-1</f>
        <v>0.216729699666296</v>
      </c>
      <c r="I121" s="15" t="n">
        <v>489</v>
      </c>
      <c r="J121" s="15" t="n">
        <v>479</v>
      </c>
    </row>
    <row r="122" customFormat="false" ht="15" hidden="false" customHeight="false" outlineLevel="0" collapsed="false">
      <c r="A122" s="1" t="s">
        <v>504</v>
      </c>
      <c r="B122" s="1" t="s">
        <v>751</v>
      </c>
      <c r="C122" s="1" t="s">
        <v>752</v>
      </c>
      <c r="D122" s="1" t="n">
        <v>1.44</v>
      </c>
      <c r="E122" s="1" t="s">
        <v>278</v>
      </c>
      <c r="F122" s="15" t="n">
        <v>869</v>
      </c>
      <c r="G122" s="15" t="n">
        <f aca="false">F122/D122</f>
        <v>603.472222222222</v>
      </c>
      <c r="H122" s="16" t="n">
        <f aca="false">(I122/G122-1)*-1</f>
        <v>0.189689298043728</v>
      </c>
      <c r="I122" s="15" t="n">
        <v>489</v>
      </c>
      <c r="J122" s="15" t="n">
        <v>479</v>
      </c>
    </row>
    <row r="123" customFormat="false" ht="15" hidden="false" customHeight="false" outlineLevel="0" collapsed="false">
      <c r="A123" s="1" t="s">
        <v>504</v>
      </c>
      <c r="B123" s="1" t="s">
        <v>753</v>
      </c>
      <c r="C123" s="1" t="s">
        <v>754</v>
      </c>
      <c r="D123" s="1" t="n">
        <v>1.44</v>
      </c>
      <c r="E123" s="1" t="s">
        <v>278</v>
      </c>
      <c r="F123" s="15" t="n">
        <v>899</v>
      </c>
      <c r="G123" s="15" t="n">
        <f aca="false">F123/D123</f>
        <v>624.305555555556</v>
      </c>
      <c r="H123" s="16" t="n">
        <f aca="false">(I123/G123-1)*-1</f>
        <v>0.216729699666296</v>
      </c>
      <c r="I123" s="15" t="n">
        <v>489</v>
      </c>
      <c r="J123" s="15" t="n">
        <v>479</v>
      </c>
    </row>
    <row r="124" customFormat="false" ht="15" hidden="false" customHeight="false" outlineLevel="0" collapsed="false">
      <c r="A124" s="1" t="s">
        <v>504</v>
      </c>
      <c r="B124" s="1" t="s">
        <v>755</v>
      </c>
      <c r="C124" s="1" t="s">
        <v>756</v>
      </c>
      <c r="D124" s="1" t="n">
        <v>1.44</v>
      </c>
      <c r="E124" s="1" t="s">
        <v>278</v>
      </c>
      <c r="F124" s="15" t="n">
        <v>899</v>
      </c>
      <c r="G124" s="15" t="n">
        <f aca="false">F124/D124</f>
        <v>624.305555555556</v>
      </c>
      <c r="H124" s="16" t="n">
        <f aca="false">(I124/G124-1)*-1</f>
        <v>0.216729699666296</v>
      </c>
      <c r="I124" s="15" t="n">
        <v>489</v>
      </c>
      <c r="J124" s="15" t="n">
        <v>479</v>
      </c>
    </row>
    <row r="125" customFormat="false" ht="15" hidden="false" customHeight="false" outlineLevel="0" collapsed="false">
      <c r="A125" s="1" t="s">
        <v>504</v>
      </c>
      <c r="B125" s="1" t="s">
        <v>757</v>
      </c>
      <c r="C125" s="1" t="s">
        <v>758</v>
      </c>
      <c r="D125" s="1" t="n">
        <v>1.44</v>
      </c>
      <c r="E125" s="1" t="s">
        <v>278</v>
      </c>
      <c r="F125" s="15" t="n">
        <v>899</v>
      </c>
      <c r="G125" s="15" t="n">
        <f aca="false">F125/D125</f>
        <v>624.305555555556</v>
      </c>
      <c r="H125" s="16" t="n">
        <f aca="false">(I125/G125-1)*-1</f>
        <v>0.216729699666296</v>
      </c>
      <c r="I125" s="15" t="n">
        <v>489</v>
      </c>
      <c r="J125" s="15" t="n">
        <v>479</v>
      </c>
    </row>
    <row r="126" customFormat="false" ht="15" hidden="false" customHeight="false" outlineLevel="0" collapsed="false">
      <c r="A126" s="1" t="s">
        <v>504</v>
      </c>
      <c r="B126" s="1" t="s">
        <v>759</v>
      </c>
      <c r="C126" s="1" t="s">
        <v>760</v>
      </c>
      <c r="D126" s="1" t="n">
        <v>1.44</v>
      </c>
      <c r="E126" s="1" t="s">
        <v>278</v>
      </c>
      <c r="F126" s="15" t="n">
        <v>899</v>
      </c>
      <c r="G126" s="15" t="n">
        <f aca="false">F126/D126</f>
        <v>624.305555555556</v>
      </c>
      <c r="H126" s="16" t="n">
        <f aca="false">(I126/G126-1)*-1</f>
        <v>0.216729699666296</v>
      </c>
      <c r="I126" s="15" t="n">
        <v>489</v>
      </c>
      <c r="J126" s="15" t="n">
        <v>479</v>
      </c>
    </row>
    <row r="127" customFormat="false" ht="15" hidden="false" customHeight="false" outlineLevel="0" collapsed="false">
      <c r="A127" s="1" t="s">
        <v>504</v>
      </c>
      <c r="B127" s="1" t="s">
        <v>761</v>
      </c>
      <c r="C127" s="1" t="s">
        <v>762</v>
      </c>
      <c r="D127" s="1" t="n">
        <v>1.44</v>
      </c>
      <c r="E127" s="1" t="s">
        <v>278</v>
      </c>
      <c r="F127" s="15" t="n">
        <v>899</v>
      </c>
      <c r="G127" s="15" t="n">
        <f aca="false">F127/D127</f>
        <v>624.305555555556</v>
      </c>
      <c r="H127" s="16" t="n">
        <f aca="false">(I127/G127-1)*-1</f>
        <v>0.216729699666296</v>
      </c>
      <c r="I127" s="15" t="n">
        <v>489</v>
      </c>
      <c r="J127" s="15" t="n">
        <v>479</v>
      </c>
    </row>
    <row r="128" customFormat="false" ht="15" hidden="false" customHeight="false" outlineLevel="0" collapsed="false">
      <c r="A128" s="1" t="s">
        <v>504</v>
      </c>
      <c r="B128" s="1" t="s">
        <v>763</v>
      </c>
      <c r="C128" s="1" t="s">
        <v>764</v>
      </c>
      <c r="D128" s="1" t="n">
        <v>1.44</v>
      </c>
      <c r="E128" s="1" t="s">
        <v>278</v>
      </c>
      <c r="F128" s="15" t="n">
        <v>899</v>
      </c>
      <c r="G128" s="15" t="n">
        <f aca="false">F128/D128</f>
        <v>624.305555555556</v>
      </c>
      <c r="H128" s="16" t="n">
        <f aca="false">(I128/G128-1)*-1</f>
        <v>0.216729699666296</v>
      </c>
      <c r="I128" s="15" t="n">
        <v>489</v>
      </c>
      <c r="J128" s="15" t="n">
        <v>479</v>
      </c>
    </row>
    <row r="129" customFormat="false" ht="15" hidden="false" customHeight="false" outlineLevel="0" collapsed="false">
      <c r="A129" s="1" t="s">
        <v>504</v>
      </c>
      <c r="B129" s="1" t="s">
        <v>765</v>
      </c>
      <c r="C129" s="1" t="s">
        <v>766</v>
      </c>
      <c r="D129" s="1" t="n">
        <v>1.44</v>
      </c>
      <c r="E129" s="1" t="s">
        <v>278</v>
      </c>
      <c r="F129" s="15" t="n">
        <v>899</v>
      </c>
      <c r="G129" s="15" t="n">
        <f aca="false">F129/D129</f>
        <v>624.305555555556</v>
      </c>
      <c r="H129" s="16" t="n">
        <f aca="false">(I129/G129-1)*-1</f>
        <v>0.216729699666296</v>
      </c>
      <c r="I129" s="15" t="n">
        <v>489</v>
      </c>
      <c r="J129" s="15" t="n">
        <v>479</v>
      </c>
    </row>
    <row r="130" customFormat="false" ht="15" hidden="false" customHeight="false" outlineLevel="0" collapsed="false">
      <c r="A130" s="1" t="s">
        <v>504</v>
      </c>
      <c r="B130" s="1" t="s">
        <v>767</v>
      </c>
      <c r="C130" s="1" t="s">
        <v>768</v>
      </c>
      <c r="D130" s="1" t="n">
        <v>1.44</v>
      </c>
      <c r="E130" s="1" t="s">
        <v>278</v>
      </c>
      <c r="F130" s="15" t="n">
        <v>899</v>
      </c>
      <c r="G130" s="15" t="n">
        <f aca="false">F130/D130</f>
        <v>624.305555555556</v>
      </c>
      <c r="H130" s="16" t="n">
        <f aca="false">(I130/G130-1)*-1</f>
        <v>0.216729699666296</v>
      </c>
      <c r="I130" s="15" t="n">
        <v>489</v>
      </c>
      <c r="J130" s="15" t="n">
        <v>429</v>
      </c>
    </row>
    <row r="131" customFormat="false" ht="15" hidden="false" customHeight="false" outlineLevel="0" collapsed="false">
      <c r="A131" s="1" t="s">
        <v>504</v>
      </c>
      <c r="B131" s="1" t="s">
        <v>769</v>
      </c>
      <c r="C131" s="1" t="s">
        <v>770</v>
      </c>
      <c r="D131" s="1" t="n">
        <v>1.44</v>
      </c>
      <c r="E131" s="1" t="s">
        <v>278</v>
      </c>
      <c r="F131" s="15" t="n">
        <v>899</v>
      </c>
      <c r="G131" s="15" t="n">
        <f aca="false">F131/D131</f>
        <v>624.305555555556</v>
      </c>
      <c r="H131" s="16" t="n">
        <f aca="false">(I131/G131-1)*-1</f>
        <v>0.216729699666296</v>
      </c>
      <c r="I131" s="15" t="n">
        <v>489</v>
      </c>
      <c r="J131" s="15" t="n">
        <v>429</v>
      </c>
    </row>
    <row r="132" customFormat="false" ht="15" hidden="false" customHeight="false" outlineLevel="0" collapsed="false">
      <c r="A132" s="1" t="s">
        <v>504</v>
      </c>
      <c r="B132" s="1" t="s">
        <v>771</v>
      </c>
      <c r="C132" s="1" t="s">
        <v>772</v>
      </c>
      <c r="D132" s="1" t="n">
        <v>1.44</v>
      </c>
      <c r="E132" s="1" t="s">
        <v>278</v>
      </c>
      <c r="F132" s="15" t="n">
        <v>899</v>
      </c>
      <c r="G132" s="15" t="n">
        <f aca="false">F132/D132</f>
        <v>624.305555555556</v>
      </c>
      <c r="H132" s="16" t="n">
        <f aca="false">(I132/G132-1)*-1</f>
        <v>0.216729699666296</v>
      </c>
      <c r="I132" s="15" t="n">
        <v>489</v>
      </c>
      <c r="J132" s="15" t="n">
        <v>429</v>
      </c>
    </row>
    <row r="133" customFormat="false" ht="15" hidden="false" customHeight="false" outlineLevel="0" collapsed="false">
      <c r="A133" s="1" t="s">
        <v>504</v>
      </c>
      <c r="B133" s="1" t="s">
        <v>773</v>
      </c>
      <c r="C133" s="1" t="s">
        <v>774</v>
      </c>
      <c r="D133" s="1" t="n">
        <v>1.44</v>
      </c>
      <c r="E133" s="1" t="s">
        <v>278</v>
      </c>
      <c r="F133" s="15" t="n">
        <v>899</v>
      </c>
      <c r="G133" s="15" t="n">
        <f aca="false">F133/D133</f>
        <v>624.305555555556</v>
      </c>
      <c r="H133" s="16" t="n">
        <f aca="false">(I133/G133-1)*-1</f>
        <v>0.216729699666296</v>
      </c>
      <c r="I133" s="15" t="n">
        <v>489</v>
      </c>
      <c r="J133" s="15" t="n">
        <v>429</v>
      </c>
    </row>
    <row r="134" customFormat="false" ht="15" hidden="false" customHeight="false" outlineLevel="0" collapsed="false">
      <c r="A134" s="1" t="s">
        <v>504</v>
      </c>
      <c r="B134" s="1" t="s">
        <v>775</v>
      </c>
      <c r="C134" s="1" t="s">
        <v>776</v>
      </c>
      <c r="D134" s="1" t="n">
        <v>1.44</v>
      </c>
      <c r="E134" s="1" t="s">
        <v>278</v>
      </c>
      <c r="F134" s="15" t="n">
        <v>899</v>
      </c>
      <c r="G134" s="15" t="n">
        <f aca="false">F134/D134</f>
        <v>624.305555555556</v>
      </c>
      <c r="H134" s="16" t="n">
        <f aca="false">(I134/G134-1)*-1</f>
        <v>0.216729699666296</v>
      </c>
      <c r="I134" s="15" t="n">
        <v>489</v>
      </c>
      <c r="J134" s="15" t="n">
        <v>429</v>
      </c>
    </row>
    <row r="135" customFormat="false" ht="15" hidden="false" customHeight="false" outlineLevel="0" collapsed="false">
      <c r="A135" s="1" t="s">
        <v>504</v>
      </c>
      <c r="B135" s="1" t="s">
        <v>777</v>
      </c>
      <c r="C135" s="1" t="s">
        <v>778</v>
      </c>
      <c r="D135" s="1" t="n">
        <v>1.44</v>
      </c>
      <c r="E135" s="1" t="s">
        <v>278</v>
      </c>
      <c r="F135" s="15" t="n">
        <v>899</v>
      </c>
      <c r="G135" s="15" t="n">
        <f aca="false">F135/D135</f>
        <v>624.305555555556</v>
      </c>
      <c r="H135" s="16" t="n">
        <f aca="false">(I135/G135-1)*-1</f>
        <v>0.216729699666296</v>
      </c>
      <c r="I135" s="15" t="n">
        <v>489</v>
      </c>
      <c r="J135" s="15" t="n">
        <v>479</v>
      </c>
    </row>
    <row r="136" customFormat="false" ht="15" hidden="false" customHeight="false" outlineLevel="0" collapsed="false">
      <c r="A136" s="1" t="s">
        <v>504</v>
      </c>
      <c r="B136" s="1" t="s">
        <v>779</v>
      </c>
      <c r="C136" s="1" t="s">
        <v>780</v>
      </c>
      <c r="D136" s="1" t="n">
        <v>1.44</v>
      </c>
      <c r="E136" s="1" t="s">
        <v>278</v>
      </c>
      <c r="F136" s="15" t="n">
        <v>899</v>
      </c>
      <c r="G136" s="15" t="n">
        <f aca="false">F136/D136</f>
        <v>624.305555555556</v>
      </c>
      <c r="H136" s="16" t="n">
        <f aca="false">(I136/G136-1)*-1</f>
        <v>0.216729699666296</v>
      </c>
      <c r="I136" s="15" t="n">
        <v>489</v>
      </c>
      <c r="J136" s="15" t="n">
        <v>479</v>
      </c>
    </row>
    <row r="137" customFormat="false" ht="15" hidden="false" customHeight="false" outlineLevel="0" collapsed="false">
      <c r="A137" s="1" t="s">
        <v>504</v>
      </c>
      <c r="B137" s="1" t="s">
        <v>781</v>
      </c>
      <c r="C137" s="1" t="s">
        <v>782</v>
      </c>
      <c r="D137" s="1" t="n">
        <v>1.44</v>
      </c>
      <c r="E137" s="1" t="s">
        <v>278</v>
      </c>
      <c r="F137" s="15" t="n">
        <v>869</v>
      </c>
      <c r="G137" s="15" t="n">
        <f aca="false">F137/D137</f>
        <v>603.472222222222</v>
      </c>
      <c r="H137" s="16" t="n">
        <f aca="false">(I137/G137-1)*-1</f>
        <v>0.139976985040276</v>
      </c>
      <c r="I137" s="15" t="n">
        <v>519</v>
      </c>
      <c r="J137" s="15" t="n">
        <v>509</v>
      </c>
    </row>
    <row r="138" customFormat="false" ht="15" hidden="false" customHeight="false" outlineLevel="0" collapsed="false">
      <c r="A138" s="1" t="s">
        <v>504</v>
      </c>
      <c r="B138" s="1" t="s">
        <v>783</v>
      </c>
      <c r="C138" s="1" t="s">
        <v>784</v>
      </c>
      <c r="D138" s="1" t="n">
        <v>1.44</v>
      </c>
      <c r="E138" s="1" t="s">
        <v>278</v>
      </c>
      <c r="F138" s="15" t="n">
        <v>899</v>
      </c>
      <c r="G138" s="15" t="n">
        <f aca="false">F138/D138</f>
        <v>624.305555555556</v>
      </c>
      <c r="H138" s="16" t="n">
        <f aca="false">(I138/G138-1)*-1</f>
        <v>0.168676307007786</v>
      </c>
      <c r="I138" s="15" t="n">
        <v>519</v>
      </c>
      <c r="J138" s="15" t="n">
        <v>509</v>
      </c>
    </row>
    <row r="139" customFormat="false" ht="15" hidden="false" customHeight="false" outlineLevel="0" collapsed="false">
      <c r="A139" s="1" t="s">
        <v>504</v>
      </c>
      <c r="B139" s="1" t="s">
        <v>785</v>
      </c>
      <c r="C139" s="1" t="s">
        <v>786</v>
      </c>
      <c r="D139" s="1" t="n">
        <v>1.44</v>
      </c>
      <c r="E139" s="1" t="s">
        <v>278</v>
      </c>
      <c r="F139" s="15" t="n">
        <v>869</v>
      </c>
      <c r="G139" s="15" t="n">
        <f aca="false">F139/D139</f>
        <v>603.472222222222</v>
      </c>
      <c r="H139" s="16" t="n">
        <f aca="false">(I139/G139-1)*-1</f>
        <v>0.139976985040276</v>
      </c>
      <c r="I139" s="15" t="n">
        <v>519</v>
      </c>
      <c r="J139" s="15" t="n">
        <v>459</v>
      </c>
    </row>
    <row r="140" customFormat="false" ht="15" hidden="false" customHeight="false" outlineLevel="0" collapsed="false">
      <c r="A140" s="1" t="s">
        <v>504</v>
      </c>
      <c r="B140" s="1" t="s">
        <v>787</v>
      </c>
      <c r="C140" s="1" t="s">
        <v>788</v>
      </c>
      <c r="D140" s="1" t="n">
        <v>1.44</v>
      </c>
      <c r="E140" s="1" t="s">
        <v>278</v>
      </c>
      <c r="F140" s="15" t="n">
        <v>869</v>
      </c>
      <c r="G140" s="15" t="n">
        <f aca="false">F140/D140</f>
        <v>603.472222222222</v>
      </c>
      <c r="H140" s="16" t="n">
        <f aca="false">(I140/G140-1)*-1</f>
        <v>0.139976985040276</v>
      </c>
      <c r="I140" s="15" t="n">
        <v>519</v>
      </c>
      <c r="J140" s="15" t="n">
        <v>509</v>
      </c>
    </row>
    <row r="141" customFormat="false" ht="15" hidden="false" customHeight="false" outlineLevel="0" collapsed="false">
      <c r="A141" s="1" t="s">
        <v>504</v>
      </c>
      <c r="B141" s="1" t="s">
        <v>789</v>
      </c>
      <c r="C141" s="1" t="s">
        <v>790</v>
      </c>
      <c r="D141" s="1" t="n">
        <v>1.44</v>
      </c>
      <c r="E141" s="1" t="s">
        <v>278</v>
      </c>
      <c r="F141" s="15" t="n">
        <v>899</v>
      </c>
      <c r="G141" s="15" t="n">
        <f aca="false">F141/D141</f>
        <v>624.305555555556</v>
      </c>
      <c r="H141" s="16" t="n">
        <f aca="false">(I141/G141-1)*-1</f>
        <v>0.168676307007786</v>
      </c>
      <c r="I141" s="15" t="n">
        <v>519</v>
      </c>
      <c r="J141" s="15" t="n">
        <v>509</v>
      </c>
    </row>
    <row r="142" customFormat="false" ht="15" hidden="false" customHeight="false" outlineLevel="0" collapsed="false">
      <c r="A142" s="1" t="s">
        <v>504</v>
      </c>
      <c r="B142" s="1" t="s">
        <v>791</v>
      </c>
      <c r="C142" s="1" t="s">
        <v>792</v>
      </c>
      <c r="D142" s="1" t="n">
        <v>1.44</v>
      </c>
      <c r="E142" s="1" t="s">
        <v>278</v>
      </c>
      <c r="F142" s="15" t="n">
        <v>1029</v>
      </c>
      <c r="G142" s="15" t="n">
        <f aca="false">F142/D142</f>
        <v>714.583333333333</v>
      </c>
      <c r="H142" s="16" t="n">
        <f aca="false">(I142/G142-1)*-1</f>
        <v>0.273702623906706</v>
      </c>
      <c r="I142" s="15" t="n">
        <v>519</v>
      </c>
      <c r="J142" s="15" t="n">
        <v>509</v>
      </c>
    </row>
    <row r="143" customFormat="false" ht="15" hidden="false" customHeight="false" outlineLevel="0" collapsed="false">
      <c r="A143" s="1" t="s">
        <v>504</v>
      </c>
      <c r="B143" s="1" t="s">
        <v>793</v>
      </c>
      <c r="C143" s="1" t="s">
        <v>794</v>
      </c>
      <c r="D143" s="1" t="n">
        <v>1.44</v>
      </c>
      <c r="E143" s="1" t="s">
        <v>278</v>
      </c>
      <c r="F143" s="15" t="n">
        <v>892.58</v>
      </c>
      <c r="G143" s="15" t="n">
        <f aca="false">F143/D143</f>
        <v>619.847222222222</v>
      </c>
      <c r="H143" s="16" t="n">
        <f aca="false">(I143/G143-1)*-1</f>
        <v>0.130430885746936</v>
      </c>
      <c r="I143" s="15" t="n">
        <v>539</v>
      </c>
      <c r="J143" s="15" t="n">
        <v>529</v>
      </c>
    </row>
    <row r="144" customFormat="false" ht="15" hidden="false" customHeight="false" outlineLevel="0" collapsed="false">
      <c r="A144" s="1" t="s">
        <v>504</v>
      </c>
      <c r="B144" s="1" t="s">
        <v>795</v>
      </c>
      <c r="C144" s="1" t="s">
        <v>796</v>
      </c>
      <c r="D144" s="1" t="n">
        <v>1.44</v>
      </c>
      <c r="E144" s="1" t="s">
        <v>278</v>
      </c>
      <c r="F144" s="15" t="n">
        <v>1029</v>
      </c>
      <c r="G144" s="15" t="n">
        <f aca="false">F144/D144</f>
        <v>714.583333333333</v>
      </c>
      <c r="H144" s="16" t="n">
        <f aca="false">(I144/G144-1)*-1</f>
        <v>0.147755102040816</v>
      </c>
      <c r="I144" s="15" t="n">
        <v>609</v>
      </c>
      <c r="J144" s="15" t="n">
        <v>599</v>
      </c>
    </row>
    <row r="145" customFormat="false" ht="15" hidden="false" customHeight="false" outlineLevel="0" collapsed="false">
      <c r="A145" s="1" t="s">
        <v>504</v>
      </c>
      <c r="B145" s="1" t="s">
        <v>797</v>
      </c>
      <c r="C145" s="1" t="s">
        <v>798</v>
      </c>
      <c r="D145" s="1" t="n">
        <v>1.44</v>
      </c>
      <c r="E145" s="1" t="s">
        <v>104</v>
      </c>
      <c r="F145" s="15" t="n">
        <v>469</v>
      </c>
      <c r="G145" s="15" t="n">
        <f aca="false">F145/D145</f>
        <v>325.694444444444</v>
      </c>
      <c r="H145" s="16" t="n">
        <f aca="false">(I145/G145-1)*-1</f>
        <v>0.266183368869936</v>
      </c>
      <c r="I145" s="15" t="n">
        <v>239</v>
      </c>
      <c r="J145" s="15" t="n">
        <v>229</v>
      </c>
    </row>
    <row r="146" customFormat="false" ht="15" hidden="false" customHeight="false" outlineLevel="0" collapsed="false">
      <c r="A146" s="1" t="s">
        <v>504</v>
      </c>
      <c r="B146" s="1" t="s">
        <v>799</v>
      </c>
      <c r="C146" s="1" t="s">
        <v>800</v>
      </c>
      <c r="D146" s="1" t="n">
        <v>1.44</v>
      </c>
      <c r="E146" s="1" t="s">
        <v>104</v>
      </c>
      <c r="F146" s="15" t="n">
        <v>469</v>
      </c>
      <c r="G146" s="15" t="n">
        <f aca="false">F146/D146</f>
        <v>325.694444444444</v>
      </c>
      <c r="H146" s="16" t="n">
        <f aca="false">(I146/G146-1)*-1</f>
        <v>0.266183368869936</v>
      </c>
      <c r="I146" s="15" t="n">
        <v>239</v>
      </c>
      <c r="J146" s="15" t="n">
        <v>229</v>
      </c>
    </row>
    <row r="147" customFormat="false" ht="15" hidden="false" customHeight="false" outlineLevel="0" collapsed="false">
      <c r="A147" s="1" t="s">
        <v>504</v>
      </c>
      <c r="B147" s="1" t="s">
        <v>801</v>
      </c>
      <c r="C147" s="1" t="s">
        <v>802</v>
      </c>
      <c r="D147" s="1" t="n">
        <v>1.44</v>
      </c>
      <c r="E147" s="1" t="s">
        <v>104</v>
      </c>
      <c r="F147" s="15" t="n">
        <v>469</v>
      </c>
      <c r="G147" s="15" t="n">
        <f aca="false">F147/D147</f>
        <v>325.694444444444</v>
      </c>
      <c r="H147" s="16" t="n">
        <f aca="false">(I147/G147-1)*-1</f>
        <v>0.266183368869936</v>
      </c>
      <c r="I147" s="15" t="n">
        <v>239</v>
      </c>
      <c r="J147" s="15" t="n">
        <v>229</v>
      </c>
    </row>
    <row r="148" customFormat="false" ht="15" hidden="false" customHeight="false" outlineLevel="0" collapsed="false">
      <c r="A148" s="1" t="s">
        <v>504</v>
      </c>
      <c r="B148" s="1" t="s">
        <v>803</v>
      </c>
      <c r="C148" s="1" t="s">
        <v>804</v>
      </c>
      <c r="D148" s="1" t="n">
        <v>1.44</v>
      </c>
      <c r="E148" s="1" t="s">
        <v>104</v>
      </c>
      <c r="F148" s="15" t="n">
        <v>469</v>
      </c>
      <c r="G148" s="15" t="n">
        <f aca="false">F148/D148</f>
        <v>325.694444444444</v>
      </c>
      <c r="H148" s="16" t="n">
        <f aca="false">(I148/G148-1)*-1</f>
        <v>0.266183368869936</v>
      </c>
      <c r="I148" s="15" t="n">
        <v>239</v>
      </c>
      <c r="J148" s="15" t="n">
        <v>189</v>
      </c>
      <c r="K148" s="11" t="s">
        <v>524</v>
      </c>
    </row>
    <row r="149" customFormat="false" ht="15" hidden="false" customHeight="false" outlineLevel="0" collapsed="false">
      <c r="A149" s="1" t="s">
        <v>504</v>
      </c>
      <c r="B149" s="1" t="s">
        <v>805</v>
      </c>
      <c r="C149" s="1" t="s">
        <v>806</v>
      </c>
      <c r="D149" s="1" t="n">
        <v>1.44</v>
      </c>
      <c r="E149" s="1" t="s">
        <v>104</v>
      </c>
      <c r="F149" s="15" t="n">
        <v>469</v>
      </c>
      <c r="G149" s="15" t="n">
        <f aca="false">F149/D149</f>
        <v>325.694444444444</v>
      </c>
      <c r="H149" s="16" t="n">
        <f aca="false">(I149/G149-1)*-1</f>
        <v>0.266183368869936</v>
      </c>
      <c r="I149" s="15" t="n">
        <v>239</v>
      </c>
      <c r="J149" s="15" t="n">
        <v>229</v>
      </c>
    </row>
    <row r="150" customFormat="false" ht="15" hidden="false" customHeight="false" outlineLevel="0" collapsed="false">
      <c r="A150" s="1" t="s">
        <v>504</v>
      </c>
      <c r="B150" s="1" t="s">
        <v>807</v>
      </c>
      <c r="C150" s="1" t="s">
        <v>808</v>
      </c>
      <c r="D150" s="1" t="n">
        <v>1.44</v>
      </c>
      <c r="E150" s="1" t="s">
        <v>104</v>
      </c>
      <c r="F150" s="15" t="n">
        <v>469</v>
      </c>
      <c r="G150" s="15" t="n">
        <f aca="false">F150/D150</f>
        <v>325.694444444444</v>
      </c>
      <c r="H150" s="16" t="n">
        <f aca="false">(I150/G150-1)*-1</f>
        <v>0.266183368869936</v>
      </c>
      <c r="I150" s="15" t="n">
        <v>239</v>
      </c>
      <c r="J150" s="15" t="n">
        <v>229</v>
      </c>
    </row>
    <row r="151" customFormat="false" ht="15" hidden="false" customHeight="false" outlineLevel="0" collapsed="false">
      <c r="A151" s="1" t="s">
        <v>504</v>
      </c>
      <c r="B151" s="1" t="s">
        <v>809</v>
      </c>
      <c r="C151" s="1" t="s">
        <v>810</v>
      </c>
      <c r="D151" s="1" t="n">
        <v>1.44</v>
      </c>
      <c r="E151" s="1" t="s">
        <v>104</v>
      </c>
      <c r="F151" s="15" t="n">
        <v>469</v>
      </c>
      <c r="G151" s="15" t="n">
        <f aca="false">F151/D151</f>
        <v>325.694444444444</v>
      </c>
      <c r="H151" s="16" t="n">
        <f aca="false">(I151/G151-1)*-1</f>
        <v>0.266183368869936</v>
      </c>
      <c r="I151" s="15" t="n">
        <v>239</v>
      </c>
      <c r="J151" s="15" t="n">
        <v>189</v>
      </c>
      <c r="K151" s="11" t="s">
        <v>524</v>
      </c>
    </row>
    <row r="152" customFormat="false" ht="15" hidden="false" customHeight="false" outlineLevel="0" collapsed="false">
      <c r="A152" s="1" t="s">
        <v>504</v>
      </c>
      <c r="B152" s="1" t="s">
        <v>811</v>
      </c>
      <c r="C152" s="1" t="s">
        <v>812</v>
      </c>
      <c r="D152" s="1" t="n">
        <v>1.44</v>
      </c>
      <c r="E152" s="1" t="s">
        <v>104</v>
      </c>
      <c r="F152" s="15" t="n">
        <v>469</v>
      </c>
      <c r="G152" s="15" t="n">
        <f aca="false">F152/D152</f>
        <v>325.694444444444</v>
      </c>
      <c r="H152" s="16" t="n">
        <f aca="false">(I152/G152-1)*-1</f>
        <v>0.266183368869936</v>
      </c>
      <c r="I152" s="15" t="n">
        <v>239</v>
      </c>
      <c r="J152" s="15" t="n">
        <v>189</v>
      </c>
      <c r="K152" s="11" t="s">
        <v>524</v>
      </c>
    </row>
    <row r="153" customFormat="false" ht="15" hidden="false" customHeight="false" outlineLevel="0" collapsed="false">
      <c r="A153" s="1" t="s">
        <v>504</v>
      </c>
      <c r="B153" s="1" t="s">
        <v>813</v>
      </c>
      <c r="C153" s="1" t="s">
        <v>814</v>
      </c>
      <c r="D153" s="1" t="n">
        <v>1.44</v>
      </c>
      <c r="E153" s="1" t="s">
        <v>104</v>
      </c>
      <c r="F153" s="15" t="n">
        <v>412.34</v>
      </c>
      <c r="G153" s="15" t="n">
        <f aca="false">F153/D153</f>
        <v>286.347222222222</v>
      </c>
      <c r="H153" s="16" t="n">
        <f aca="false">(I153/G153-1)*-1</f>
        <v>0.130426347189213</v>
      </c>
      <c r="I153" s="15" t="n">
        <v>249</v>
      </c>
      <c r="J153" s="15" t="n">
        <v>239</v>
      </c>
    </row>
    <row r="154" customFormat="false" ht="15" hidden="false" customHeight="false" outlineLevel="0" collapsed="false">
      <c r="A154" s="1" t="s">
        <v>504</v>
      </c>
      <c r="B154" s="1" t="s">
        <v>815</v>
      </c>
      <c r="C154" s="1" t="s">
        <v>816</v>
      </c>
      <c r="D154" s="1" t="n">
        <v>1.44</v>
      </c>
      <c r="E154" s="1" t="s">
        <v>104</v>
      </c>
      <c r="F154" s="15" t="n">
        <v>412.34</v>
      </c>
      <c r="G154" s="15" t="n">
        <f aca="false">F154/D154</f>
        <v>286.347222222222</v>
      </c>
      <c r="H154" s="16" t="n">
        <f aca="false">(I154/G154-1)*-1</f>
        <v>0.130426347189213</v>
      </c>
      <c r="I154" s="15" t="n">
        <v>249</v>
      </c>
      <c r="J154" s="15" t="n">
        <v>239</v>
      </c>
    </row>
    <row r="155" customFormat="false" ht="15" hidden="false" customHeight="false" outlineLevel="0" collapsed="false">
      <c r="A155" s="1" t="s">
        <v>504</v>
      </c>
      <c r="B155" s="1" t="s">
        <v>817</v>
      </c>
      <c r="C155" s="1" t="s">
        <v>818</v>
      </c>
      <c r="D155" s="1" t="n">
        <v>1.44</v>
      </c>
      <c r="E155" s="1" t="s">
        <v>104</v>
      </c>
      <c r="F155" s="15" t="n">
        <v>412.34</v>
      </c>
      <c r="G155" s="15" t="n">
        <f aca="false">F155/D155</f>
        <v>286.347222222222</v>
      </c>
      <c r="H155" s="16" t="n">
        <f aca="false">(I155/G155-1)*-1</f>
        <v>0.130426347189213</v>
      </c>
      <c r="I155" s="15" t="n">
        <v>249</v>
      </c>
      <c r="J155" s="15" t="n">
        <v>199</v>
      </c>
    </row>
    <row r="156" customFormat="false" ht="15" hidden="false" customHeight="false" outlineLevel="0" collapsed="false">
      <c r="A156" s="1" t="s">
        <v>504</v>
      </c>
      <c r="B156" s="1" t="s">
        <v>819</v>
      </c>
      <c r="C156" s="1" t="s">
        <v>820</v>
      </c>
      <c r="D156" s="1" t="n">
        <v>1.44</v>
      </c>
      <c r="E156" s="1" t="s">
        <v>104</v>
      </c>
      <c r="F156" s="15" t="n">
        <v>599</v>
      </c>
      <c r="G156" s="15" t="n">
        <f aca="false">F156/D156</f>
        <v>415.972222222222</v>
      </c>
      <c r="H156" s="16" t="n">
        <f aca="false">(I156/G156-1)*-1</f>
        <v>0.329282136894825</v>
      </c>
      <c r="I156" s="15" t="n">
        <v>279</v>
      </c>
      <c r="J156" s="15" t="n">
        <v>269</v>
      </c>
    </row>
    <row r="157" customFormat="false" ht="15" hidden="false" customHeight="false" outlineLevel="0" collapsed="false">
      <c r="A157" s="1" t="s">
        <v>504</v>
      </c>
      <c r="B157" s="1" t="s">
        <v>821</v>
      </c>
      <c r="C157" s="1" t="s">
        <v>822</v>
      </c>
      <c r="D157" s="1" t="n">
        <v>1.44</v>
      </c>
      <c r="E157" s="1" t="s">
        <v>104</v>
      </c>
      <c r="F157" s="15" t="n">
        <v>649</v>
      </c>
      <c r="G157" s="15" t="n">
        <f aca="false">F157/D157</f>
        <v>450.694444444444</v>
      </c>
      <c r="H157" s="16" t="n">
        <f aca="false">(I157/G157-1)*-1</f>
        <v>0.270015408320493</v>
      </c>
      <c r="I157" s="15" t="n">
        <v>329</v>
      </c>
      <c r="J157" s="15" t="n">
        <v>319</v>
      </c>
    </row>
    <row r="158" customFormat="false" ht="15" hidden="false" customHeight="false" outlineLevel="0" collapsed="false">
      <c r="A158" s="1" t="s">
        <v>504</v>
      </c>
      <c r="B158" s="1" t="s">
        <v>823</v>
      </c>
      <c r="C158" s="1" t="s">
        <v>824</v>
      </c>
      <c r="D158" s="1" t="n">
        <v>1.44</v>
      </c>
      <c r="E158" s="1" t="s">
        <v>104</v>
      </c>
      <c r="F158" s="15" t="n">
        <v>649</v>
      </c>
      <c r="G158" s="15" t="n">
        <f aca="false">F158/D158</f>
        <v>450.694444444444</v>
      </c>
      <c r="H158" s="16" t="n">
        <f aca="false">(I158/G158-1)*-1</f>
        <v>0.270015408320493</v>
      </c>
      <c r="I158" s="15" t="n">
        <v>329</v>
      </c>
      <c r="J158" s="15" t="n">
        <v>319</v>
      </c>
    </row>
    <row r="159" customFormat="false" ht="15" hidden="false" customHeight="false" outlineLevel="0" collapsed="false">
      <c r="A159" s="1" t="s">
        <v>504</v>
      </c>
      <c r="B159" s="1" t="s">
        <v>825</v>
      </c>
      <c r="C159" s="1" t="s">
        <v>826</v>
      </c>
      <c r="D159" s="1" t="n">
        <v>1.44</v>
      </c>
      <c r="E159" s="1" t="s">
        <v>104</v>
      </c>
      <c r="F159" s="15" t="n">
        <v>649</v>
      </c>
      <c r="G159" s="15" t="n">
        <f aca="false">F159/D159</f>
        <v>450.694444444444</v>
      </c>
      <c r="H159" s="16" t="n">
        <f aca="false">(I159/G159-1)*-1</f>
        <v>0.247827426810478</v>
      </c>
      <c r="I159" s="15" t="n">
        <v>339</v>
      </c>
      <c r="J159" s="15" t="n">
        <v>329</v>
      </c>
    </row>
    <row r="160" customFormat="false" ht="15" hidden="false" customHeight="false" outlineLevel="0" collapsed="false">
      <c r="A160" s="1" t="s">
        <v>504</v>
      </c>
      <c r="B160" s="1" t="s">
        <v>827</v>
      </c>
      <c r="C160" s="1" t="s">
        <v>828</v>
      </c>
      <c r="D160" s="1" t="n">
        <v>1.44</v>
      </c>
      <c r="E160" s="1" t="s">
        <v>104</v>
      </c>
      <c r="F160" s="15" t="n">
        <v>649</v>
      </c>
      <c r="G160" s="15" t="n">
        <f aca="false">F160/D160</f>
        <v>450.694444444444</v>
      </c>
      <c r="H160" s="16" t="n">
        <f aca="false">(I160/G160-1)*-1</f>
        <v>0.247827426810478</v>
      </c>
      <c r="I160" s="15" t="n">
        <v>339</v>
      </c>
      <c r="J160" s="15" t="n">
        <v>329</v>
      </c>
    </row>
    <row r="161" customFormat="false" ht="15" hidden="false" customHeight="false" outlineLevel="0" collapsed="false">
      <c r="A161" s="1" t="s">
        <v>504</v>
      </c>
      <c r="B161" s="1" t="s">
        <v>829</v>
      </c>
      <c r="C161" s="1" t="s">
        <v>830</v>
      </c>
      <c r="D161" s="1" t="n">
        <v>1.44</v>
      </c>
      <c r="E161" s="1" t="s">
        <v>104</v>
      </c>
      <c r="F161" s="15" t="n">
        <v>627.62</v>
      </c>
      <c r="G161" s="15" t="n">
        <f aca="false">F161/D161</f>
        <v>435.847222222222</v>
      </c>
      <c r="H161" s="16" t="n">
        <f aca="false">(I161/G161-1)*-1</f>
        <v>0.199260699149167</v>
      </c>
      <c r="I161" s="15" t="n">
        <v>349</v>
      </c>
      <c r="J161" s="15" t="n">
        <v>339</v>
      </c>
    </row>
    <row r="162" customFormat="false" ht="15" hidden="false" customHeight="false" outlineLevel="0" collapsed="false">
      <c r="A162" s="1" t="s">
        <v>504</v>
      </c>
      <c r="B162" s="1" t="s">
        <v>831</v>
      </c>
      <c r="C162" s="1" t="s">
        <v>832</v>
      </c>
      <c r="D162" s="1" t="n">
        <v>1.44</v>
      </c>
      <c r="E162" s="1" t="s">
        <v>104</v>
      </c>
      <c r="F162" s="15" t="n">
        <v>649</v>
      </c>
      <c r="G162" s="15" t="n">
        <f aca="false">F162/D162</f>
        <v>450.694444444444</v>
      </c>
      <c r="H162" s="16" t="n">
        <f aca="false">(I162/G162-1)*-1</f>
        <v>0.225639445300462</v>
      </c>
      <c r="I162" s="15" t="n">
        <v>349</v>
      </c>
      <c r="J162" s="15" t="n">
        <v>339</v>
      </c>
    </row>
    <row r="163" customFormat="false" ht="15" hidden="false" customHeight="false" outlineLevel="0" collapsed="false">
      <c r="A163" s="1" t="s">
        <v>504</v>
      </c>
      <c r="B163" s="1" t="s">
        <v>833</v>
      </c>
      <c r="C163" s="1" t="s">
        <v>834</v>
      </c>
      <c r="D163" s="1" t="n">
        <v>1.44</v>
      </c>
      <c r="E163" s="1" t="s">
        <v>104</v>
      </c>
      <c r="F163" s="15" t="n">
        <v>599</v>
      </c>
      <c r="G163" s="15" t="n">
        <f aca="false">F163/D163</f>
        <v>415.972222222222</v>
      </c>
      <c r="H163" s="16" t="n">
        <f aca="false">(I163/G163-1)*-1</f>
        <v>0.161001669449082</v>
      </c>
      <c r="I163" s="15" t="n">
        <v>349</v>
      </c>
      <c r="J163" s="15" t="n">
        <v>339</v>
      </c>
    </row>
    <row r="164" customFormat="false" ht="15" hidden="false" customHeight="false" outlineLevel="0" collapsed="false">
      <c r="A164" s="1" t="s">
        <v>504</v>
      </c>
      <c r="B164" s="1" t="s">
        <v>835</v>
      </c>
      <c r="C164" s="1" t="s">
        <v>836</v>
      </c>
      <c r="D164" s="1" t="n">
        <v>1.44</v>
      </c>
      <c r="E164" s="1" t="s">
        <v>104</v>
      </c>
      <c r="F164" s="15" t="n">
        <v>627.62</v>
      </c>
      <c r="G164" s="15" t="n">
        <f aca="false">F164/D164</f>
        <v>435.847222222222</v>
      </c>
      <c r="H164" s="16" t="n">
        <f aca="false">(I164/G164-1)*-1</f>
        <v>0.130429240623307</v>
      </c>
      <c r="I164" s="15" t="n">
        <v>379</v>
      </c>
      <c r="J164" s="15" t="n">
        <v>369</v>
      </c>
    </row>
    <row r="165" customFormat="false" ht="15" hidden="false" customHeight="false" outlineLevel="0" collapsed="false">
      <c r="A165" s="1" t="s">
        <v>504</v>
      </c>
      <c r="B165" s="1" t="s">
        <v>837</v>
      </c>
      <c r="C165" s="1" t="s">
        <v>838</v>
      </c>
      <c r="D165" s="1" t="n">
        <v>1.44</v>
      </c>
      <c r="E165" s="1" t="s">
        <v>104</v>
      </c>
      <c r="F165" s="15" t="n">
        <v>644.18</v>
      </c>
      <c r="G165" s="15" t="n">
        <f aca="false">F165/D165</f>
        <v>447.347222222222</v>
      </c>
      <c r="H165" s="16" t="n">
        <f aca="false">(I165/G165-1)*-1</f>
        <v>0.130429383091683</v>
      </c>
      <c r="I165" s="15" t="n">
        <v>389</v>
      </c>
      <c r="J165" s="15" t="n">
        <v>379</v>
      </c>
    </row>
    <row r="166" customFormat="false" ht="15" hidden="false" customHeight="false" outlineLevel="0" collapsed="false">
      <c r="A166" s="1" t="s">
        <v>504</v>
      </c>
      <c r="B166" s="1" t="s">
        <v>839</v>
      </c>
      <c r="C166" s="1" t="s">
        <v>840</v>
      </c>
      <c r="D166" s="1" t="n">
        <v>1.44</v>
      </c>
      <c r="E166" s="1" t="s">
        <v>104</v>
      </c>
      <c r="F166" s="15" t="n">
        <v>644.18</v>
      </c>
      <c r="G166" s="15" t="n">
        <f aca="false">F166/D166</f>
        <v>447.347222222222</v>
      </c>
      <c r="H166" s="16" t="n">
        <f aca="false">(I166/G166-1)*-1</f>
        <v>0.130429383091683</v>
      </c>
      <c r="I166" s="15" t="n">
        <v>389</v>
      </c>
      <c r="J166" s="15" t="n">
        <v>379</v>
      </c>
    </row>
    <row r="167" customFormat="false" ht="15" hidden="false" customHeight="false" outlineLevel="0" collapsed="false">
      <c r="A167" s="1" t="s">
        <v>504</v>
      </c>
      <c r="B167" s="1" t="s">
        <v>841</v>
      </c>
      <c r="C167" s="1" t="s">
        <v>842</v>
      </c>
      <c r="D167" s="1" t="n">
        <v>1.44</v>
      </c>
      <c r="E167" s="1" t="s">
        <v>104</v>
      </c>
      <c r="F167" s="15" t="n">
        <v>699</v>
      </c>
      <c r="G167" s="15" t="n">
        <f aca="false">F167/D167</f>
        <v>485.416666666667</v>
      </c>
      <c r="H167" s="16" t="n">
        <f aca="false">(I167/G167-1)*-1</f>
        <v>0.178025751072961</v>
      </c>
      <c r="I167" s="15" t="n">
        <v>399</v>
      </c>
      <c r="J167" s="15" t="n">
        <v>389</v>
      </c>
    </row>
    <row r="168" customFormat="false" ht="15" hidden="false" customHeight="false" outlineLevel="0" collapsed="false">
      <c r="A168" s="1" t="s">
        <v>504</v>
      </c>
      <c r="B168" s="1" t="s">
        <v>843</v>
      </c>
      <c r="C168" s="1" t="s">
        <v>844</v>
      </c>
      <c r="D168" s="1" t="n">
        <v>1.44</v>
      </c>
      <c r="E168" s="1" t="s">
        <v>104</v>
      </c>
      <c r="F168" s="15" t="n">
        <v>759</v>
      </c>
      <c r="G168" s="15" t="n">
        <f aca="false">F168/D168</f>
        <v>527.083333333333</v>
      </c>
      <c r="H168" s="16" t="n">
        <f aca="false">(I168/G168-1)*-1</f>
        <v>0.148142292490119</v>
      </c>
      <c r="I168" s="15" t="n">
        <v>449</v>
      </c>
      <c r="J168" s="15" t="n">
        <v>439</v>
      </c>
    </row>
    <row r="169" customFormat="false" ht="15" hidden="false" customHeight="false" outlineLevel="0" collapsed="false">
      <c r="A169" s="1" t="s">
        <v>504</v>
      </c>
      <c r="B169" s="1" t="s">
        <v>845</v>
      </c>
      <c r="C169" s="1" t="s">
        <v>846</v>
      </c>
      <c r="D169" s="1" t="n">
        <v>1.44</v>
      </c>
      <c r="E169" s="1" t="s">
        <v>104</v>
      </c>
      <c r="F169" s="15" t="n">
        <v>759</v>
      </c>
      <c r="G169" s="15" t="n">
        <f aca="false">F169/D169</f>
        <v>527.083333333333</v>
      </c>
      <c r="H169" s="16" t="n">
        <f aca="false">(I169/G169-1)*-1</f>
        <v>0.148142292490119</v>
      </c>
      <c r="I169" s="15" t="n">
        <v>449</v>
      </c>
      <c r="J169" s="15" t="n">
        <v>439</v>
      </c>
    </row>
    <row r="170" customFormat="false" ht="15" hidden="false" customHeight="false" outlineLevel="0" collapsed="false">
      <c r="A170" s="1" t="s">
        <v>504</v>
      </c>
      <c r="B170" s="1" t="s">
        <v>847</v>
      </c>
      <c r="C170" s="1" t="s">
        <v>848</v>
      </c>
      <c r="D170" s="1" t="n">
        <v>1.44</v>
      </c>
      <c r="E170" s="1" t="s">
        <v>104</v>
      </c>
      <c r="F170" s="15" t="n">
        <v>759</v>
      </c>
      <c r="G170" s="15" t="n">
        <f aca="false">F170/D170</f>
        <v>527.083333333333</v>
      </c>
      <c r="H170" s="16" t="n">
        <f aca="false">(I170/G170-1)*-1</f>
        <v>0.148142292490119</v>
      </c>
      <c r="I170" s="15" t="n">
        <v>449</v>
      </c>
      <c r="J170" s="15" t="n">
        <v>439</v>
      </c>
    </row>
    <row r="171" customFormat="false" ht="15" hidden="false" customHeight="false" outlineLevel="0" collapsed="false">
      <c r="A171" s="1" t="s">
        <v>504</v>
      </c>
      <c r="B171" s="1" t="s">
        <v>849</v>
      </c>
      <c r="C171" s="1" t="s">
        <v>850</v>
      </c>
      <c r="D171" s="1" t="n">
        <v>1.44</v>
      </c>
      <c r="E171" s="1" t="s">
        <v>104</v>
      </c>
      <c r="F171" s="15" t="n">
        <v>759</v>
      </c>
      <c r="G171" s="15" t="n">
        <f aca="false">F171/D171</f>
        <v>527.083333333333</v>
      </c>
      <c r="H171" s="16" t="n">
        <f aca="false">(I171/G171-1)*-1</f>
        <v>0.148142292490119</v>
      </c>
      <c r="I171" s="15" t="n">
        <v>449</v>
      </c>
      <c r="J171" s="15" t="n">
        <v>439</v>
      </c>
    </row>
    <row r="172" customFormat="false" ht="15" hidden="false" customHeight="false" outlineLevel="0" collapsed="false">
      <c r="A172" s="1" t="s">
        <v>504</v>
      </c>
      <c r="B172" s="1" t="s">
        <v>851</v>
      </c>
      <c r="C172" s="1" t="s">
        <v>852</v>
      </c>
      <c r="D172" s="1" t="n">
        <v>1.44</v>
      </c>
      <c r="E172" s="1" t="s">
        <v>104</v>
      </c>
      <c r="F172" s="15" t="n">
        <v>799</v>
      </c>
      <c r="G172" s="15" t="n">
        <f aca="false">F172/D172</f>
        <v>554.861111111111</v>
      </c>
      <c r="H172" s="16" t="n">
        <f aca="false">(I172/G172-1)*-1</f>
        <v>0.154743429286608</v>
      </c>
      <c r="I172" s="15" t="n">
        <v>469</v>
      </c>
      <c r="J172" s="15" t="n">
        <v>459</v>
      </c>
    </row>
    <row r="173" customFormat="false" ht="15" hidden="false" customHeight="false" outlineLevel="0" collapsed="false">
      <c r="A173" s="1" t="s">
        <v>504</v>
      </c>
      <c r="B173" s="1" t="s">
        <v>853</v>
      </c>
      <c r="C173" s="1" t="s">
        <v>854</v>
      </c>
      <c r="D173" s="1" t="n">
        <v>1.44</v>
      </c>
      <c r="E173" s="1" t="s">
        <v>104</v>
      </c>
      <c r="F173" s="15" t="n">
        <v>779</v>
      </c>
      <c r="G173" s="15" t="n">
        <f aca="false">F173/D173</f>
        <v>540.972222222222</v>
      </c>
      <c r="H173" s="16" t="n">
        <f aca="false">(I173/G173-1)*-1</f>
        <v>0.114557124518614</v>
      </c>
      <c r="I173" s="15" t="n">
        <v>479</v>
      </c>
      <c r="J173" s="15" t="n">
        <v>469</v>
      </c>
    </row>
    <row r="174" customFormat="false" ht="15" hidden="false" customHeight="false" outlineLevel="0" collapsed="false">
      <c r="A174" s="1" t="s">
        <v>504</v>
      </c>
      <c r="B174" s="1" t="s">
        <v>855</v>
      </c>
      <c r="C174" s="1" t="s">
        <v>856</v>
      </c>
      <c r="D174" s="1" t="n">
        <v>1.44</v>
      </c>
      <c r="E174" s="1" t="s">
        <v>104</v>
      </c>
      <c r="F174" s="15" t="n">
        <v>999</v>
      </c>
      <c r="G174" s="15" t="n">
        <f aca="false">F174/D174</f>
        <v>693.75</v>
      </c>
      <c r="H174" s="16" t="n">
        <f aca="false">(I174/G174-1)*-1</f>
        <v>0.208648648648649</v>
      </c>
      <c r="I174" s="15" t="n">
        <v>549</v>
      </c>
      <c r="J174" s="15" t="n">
        <v>249</v>
      </c>
      <c r="K174" s="11" t="s">
        <v>524</v>
      </c>
    </row>
    <row r="175" customFormat="false" ht="15" hidden="false" customHeight="false" outlineLevel="0" collapsed="false">
      <c r="A175" s="1" t="s">
        <v>504</v>
      </c>
      <c r="B175" s="1" t="s">
        <v>857</v>
      </c>
      <c r="C175" s="1" t="s">
        <v>858</v>
      </c>
      <c r="D175" s="1" t="n">
        <v>2.79</v>
      </c>
      <c r="E175" s="1" t="s">
        <v>859</v>
      </c>
      <c r="F175" s="15" t="n">
        <v>899</v>
      </c>
      <c r="G175" s="15" t="n">
        <f aca="false">F175/D175</f>
        <v>322.222222222222</v>
      </c>
      <c r="H175" s="16" t="n">
        <f aca="false">(I175/G175-1)*-1</f>
        <v>0.258275862068966</v>
      </c>
      <c r="I175" s="15" t="n">
        <v>239</v>
      </c>
      <c r="J175" s="15" t="n">
        <v>229</v>
      </c>
    </row>
    <row r="176" customFormat="false" ht="15" hidden="false" customHeight="false" outlineLevel="0" collapsed="false">
      <c r="A176" s="1" t="s">
        <v>504</v>
      </c>
      <c r="B176" s="1" t="s">
        <v>860</v>
      </c>
      <c r="C176" s="1" t="s">
        <v>861</v>
      </c>
      <c r="D176" s="1" t="n">
        <v>2.19</v>
      </c>
      <c r="E176" s="1" t="s">
        <v>862</v>
      </c>
      <c r="F176" s="15" t="n">
        <v>829</v>
      </c>
      <c r="G176" s="15" t="n">
        <f aca="false">F176/D176</f>
        <v>378.538812785388</v>
      </c>
      <c r="H176" s="16" t="n">
        <f aca="false">(I176/G176-1)*-1</f>
        <v>0.368624849215923</v>
      </c>
      <c r="I176" s="15" t="n">
        <v>239</v>
      </c>
      <c r="J176" s="15" t="n">
        <v>179</v>
      </c>
      <c r="K176" s="11" t="s">
        <v>524</v>
      </c>
    </row>
    <row r="177" customFormat="false" ht="15" hidden="false" customHeight="false" outlineLevel="0" collapsed="false">
      <c r="A177" s="1" t="s">
        <v>504</v>
      </c>
      <c r="B177" s="1" t="s">
        <v>863</v>
      </c>
      <c r="C177" s="1" t="s">
        <v>864</v>
      </c>
      <c r="D177" s="1" t="n">
        <v>2.19</v>
      </c>
      <c r="E177" s="1" t="s">
        <v>862</v>
      </c>
      <c r="F177" s="15" t="n">
        <v>829</v>
      </c>
      <c r="G177" s="15" t="n">
        <f aca="false">F177/D177</f>
        <v>378.538812785388</v>
      </c>
      <c r="H177" s="16" t="n">
        <f aca="false">(I177/G177-1)*-1</f>
        <v>0.368624849215923</v>
      </c>
      <c r="I177" s="15" t="n">
        <v>239</v>
      </c>
      <c r="J177" s="15" t="n">
        <v>229</v>
      </c>
    </row>
    <row r="178" customFormat="false" ht="15" hidden="false" customHeight="false" outlineLevel="0" collapsed="false">
      <c r="A178" s="1" t="s">
        <v>504</v>
      </c>
      <c r="B178" s="1" t="s">
        <v>865</v>
      </c>
      <c r="C178" s="1" t="s">
        <v>866</v>
      </c>
      <c r="D178" s="1" t="n">
        <v>2.25</v>
      </c>
      <c r="E178" s="1" t="s">
        <v>867</v>
      </c>
      <c r="F178" s="15" t="n">
        <v>1699</v>
      </c>
      <c r="G178" s="15" t="n">
        <f aca="false">F178/D178</f>
        <v>755.111111111111</v>
      </c>
      <c r="H178" s="16" t="n">
        <f aca="false">(I178/G178-1)*-1</f>
        <v>0.405385520894644</v>
      </c>
      <c r="I178" s="15" t="n">
        <v>449</v>
      </c>
      <c r="J178" s="15" t="n">
        <v>339</v>
      </c>
      <c r="K178" s="11" t="s">
        <v>524</v>
      </c>
    </row>
    <row r="179" customFormat="false" ht="15" hidden="false" customHeight="false" outlineLevel="0" collapsed="false">
      <c r="A179" s="1" t="s">
        <v>504</v>
      </c>
      <c r="B179" s="1" t="s">
        <v>868</v>
      </c>
      <c r="C179" s="1" t="s">
        <v>869</v>
      </c>
      <c r="D179" s="1" t="n">
        <v>2.25</v>
      </c>
      <c r="E179" s="1" t="s">
        <v>867</v>
      </c>
      <c r="F179" s="15" t="n">
        <v>1699</v>
      </c>
      <c r="G179" s="15" t="n">
        <f aca="false">F179/D179</f>
        <v>755.111111111111</v>
      </c>
      <c r="H179" s="16" t="n">
        <f aca="false">(I179/G179-1)*-1</f>
        <v>0.180253090052972</v>
      </c>
      <c r="I179" s="15" t="n">
        <v>619</v>
      </c>
      <c r="J179" s="15" t="n">
        <v>609</v>
      </c>
    </row>
    <row r="180" customFormat="false" ht="15" hidden="false" customHeight="false" outlineLevel="0" collapsed="false">
      <c r="A180" s="1" t="s">
        <v>504</v>
      </c>
      <c r="B180" s="1" t="s">
        <v>870</v>
      </c>
      <c r="C180" s="1" t="s">
        <v>871</v>
      </c>
      <c r="D180" s="1" t="n">
        <v>2.25</v>
      </c>
      <c r="E180" s="1" t="s">
        <v>867</v>
      </c>
      <c r="F180" s="15" t="n">
        <v>1699</v>
      </c>
      <c r="G180" s="15" t="n">
        <f aca="false">F180/D180</f>
        <v>755.111111111111</v>
      </c>
      <c r="H180" s="16" t="n">
        <f aca="false">(I180/G180-1)*-1</f>
        <v>0.180253090052972</v>
      </c>
      <c r="I180" s="15" t="n">
        <v>619</v>
      </c>
      <c r="J180" s="15" t="n">
        <v>339</v>
      </c>
      <c r="K180" s="11" t="s">
        <v>524</v>
      </c>
    </row>
    <row r="181" customFormat="false" ht="15" hidden="false" customHeight="false" outlineLevel="0" collapsed="false">
      <c r="A181" s="1" t="s">
        <v>504</v>
      </c>
      <c r="B181" s="1" t="s">
        <v>872</v>
      </c>
      <c r="C181" s="1" t="s">
        <v>873</v>
      </c>
      <c r="D181" s="1" t="n">
        <v>2.25</v>
      </c>
      <c r="E181" s="1" t="s">
        <v>867</v>
      </c>
      <c r="F181" s="15" t="n">
        <v>1699</v>
      </c>
      <c r="G181" s="15" t="n">
        <f aca="false">F181/D181</f>
        <v>755.111111111111</v>
      </c>
      <c r="H181" s="16" t="n">
        <f aca="false">(I181/G181-1)*-1</f>
        <v>0.180253090052972</v>
      </c>
      <c r="I181" s="15" t="n">
        <v>619</v>
      </c>
      <c r="J181" s="15" t="n">
        <v>339</v>
      </c>
      <c r="K181" s="11" t="s">
        <v>524</v>
      </c>
    </row>
    <row r="182" customFormat="false" ht="15" hidden="false" customHeight="false" outlineLevel="0" collapsed="false">
      <c r="A182" s="1" t="s">
        <v>504</v>
      </c>
      <c r="B182" s="1" t="s">
        <v>874</v>
      </c>
      <c r="C182" s="1" t="s">
        <v>875</v>
      </c>
      <c r="D182" s="1" t="n">
        <v>2.25</v>
      </c>
      <c r="E182" s="1" t="s">
        <v>867</v>
      </c>
      <c r="F182" s="15" t="n">
        <v>1699</v>
      </c>
      <c r="G182" s="15" t="n">
        <f aca="false">F182/D182</f>
        <v>755.111111111111</v>
      </c>
      <c r="H182" s="16" t="n">
        <f aca="false">(I182/G182-1)*-1</f>
        <v>0.180253090052972</v>
      </c>
      <c r="I182" s="15" t="n">
        <v>619</v>
      </c>
      <c r="J182" s="15" t="n">
        <v>599</v>
      </c>
    </row>
    <row r="183" customFormat="false" ht="15" hidden="false" customHeight="false" outlineLevel="0" collapsed="false">
      <c r="A183" s="1" t="s">
        <v>504</v>
      </c>
      <c r="B183" s="1" t="s">
        <v>876</v>
      </c>
      <c r="C183" s="1" t="s">
        <v>877</v>
      </c>
      <c r="D183" s="1" t="n">
        <v>2.25</v>
      </c>
      <c r="E183" s="1" t="s">
        <v>867</v>
      </c>
      <c r="F183" s="15" t="n">
        <v>1699</v>
      </c>
      <c r="G183" s="15" t="n">
        <f aca="false">F183/D183</f>
        <v>755.111111111111</v>
      </c>
      <c r="H183" s="16" t="n">
        <f aca="false">(I183/G183-1)*-1</f>
        <v>0.180253090052972</v>
      </c>
      <c r="I183" s="15" t="n">
        <v>619</v>
      </c>
      <c r="J183" s="15" t="n">
        <v>599</v>
      </c>
    </row>
    <row r="184" customFormat="false" ht="15" hidden="false" customHeight="false" outlineLevel="0" collapsed="false">
      <c r="A184" s="1" t="s">
        <v>504</v>
      </c>
      <c r="B184" s="1" t="s">
        <v>878</v>
      </c>
      <c r="C184" s="1" t="s">
        <v>879</v>
      </c>
      <c r="D184" s="1" t="n">
        <v>2.25</v>
      </c>
      <c r="E184" s="1" t="s">
        <v>867</v>
      </c>
      <c r="F184" s="15" t="n">
        <v>1808.66</v>
      </c>
      <c r="G184" s="15" t="n">
        <f aca="false">F184/D184</f>
        <v>803.848888888889</v>
      </c>
      <c r="H184" s="16" t="n">
        <f aca="false">(I184/G184-1)*-1</f>
        <v>0.130433580661927</v>
      </c>
      <c r="I184" s="15" t="n">
        <v>699</v>
      </c>
      <c r="J184" s="15" t="n">
        <v>689</v>
      </c>
    </row>
    <row r="185" customFormat="false" ht="15" hidden="false" customHeight="false" outlineLevel="0" collapsed="false">
      <c r="A185" s="1" t="s">
        <v>504</v>
      </c>
      <c r="B185" s="1" t="s">
        <v>880</v>
      </c>
      <c r="C185" s="1" t="s">
        <v>881</v>
      </c>
      <c r="D185" s="1" t="n">
        <v>2.56</v>
      </c>
      <c r="E185" s="1" t="s">
        <v>882</v>
      </c>
      <c r="F185" s="15" t="n">
        <v>2327</v>
      </c>
      <c r="G185" s="15" t="n">
        <f aca="false">F185/D185</f>
        <v>908.984375</v>
      </c>
      <c r="H185" s="16" t="n">
        <f aca="false">(I185/G185-1)*-1</f>
        <v>0.451035668242372</v>
      </c>
      <c r="I185" s="15" t="n">
        <v>499</v>
      </c>
      <c r="J185" s="15" t="n">
        <v>349</v>
      </c>
      <c r="K185" s="11" t="s">
        <v>524</v>
      </c>
    </row>
    <row r="186" customFormat="false" ht="15" hidden="false" customHeight="false" outlineLevel="0" collapsed="false">
      <c r="A186" s="1" t="s">
        <v>504</v>
      </c>
      <c r="B186" s="1" t="s">
        <v>883</v>
      </c>
      <c r="C186" s="1" t="s">
        <v>884</v>
      </c>
      <c r="D186" s="1" t="n">
        <v>2.56</v>
      </c>
      <c r="E186" s="1" t="s">
        <v>882</v>
      </c>
      <c r="F186" s="15" t="n">
        <v>2587</v>
      </c>
      <c r="G186" s="15" t="n">
        <f aca="false">F186/D186</f>
        <v>1010.546875</v>
      </c>
      <c r="H186" s="16" t="n">
        <f aca="false">(I186/G186-1)*-1</f>
        <v>0.50620796289138</v>
      </c>
      <c r="I186" s="15" t="n">
        <v>499</v>
      </c>
      <c r="J186" s="15" t="n">
        <v>349</v>
      </c>
      <c r="K186" s="11" t="s">
        <v>524</v>
      </c>
    </row>
    <row r="187" customFormat="false" ht="15" hidden="false" customHeight="false" outlineLevel="0" collapsed="false">
      <c r="A187" s="1" t="s">
        <v>504</v>
      </c>
      <c r="B187" s="1" t="s">
        <v>885</v>
      </c>
      <c r="C187" s="1" t="s">
        <v>886</v>
      </c>
      <c r="D187" s="1" t="n">
        <v>2.56</v>
      </c>
      <c r="E187" s="1" t="s">
        <v>882</v>
      </c>
      <c r="F187" s="15" t="n">
        <v>2067</v>
      </c>
      <c r="G187" s="15" t="n">
        <f aca="false">F187/D187</f>
        <v>807.421875</v>
      </c>
      <c r="H187" s="16" t="n">
        <f aca="false">(I187/G187-1)*-1</f>
        <v>0.282902757619739</v>
      </c>
      <c r="I187" s="15" t="n">
        <v>579</v>
      </c>
    </row>
    <row r="188" customFormat="false" ht="15" hidden="false" customHeight="false" outlineLevel="0" collapsed="false">
      <c r="A188" s="1" t="s">
        <v>504</v>
      </c>
      <c r="B188" s="1" t="s">
        <v>887</v>
      </c>
      <c r="C188" s="1" t="s">
        <v>888</v>
      </c>
      <c r="D188" s="1" t="n">
        <v>2.56</v>
      </c>
      <c r="E188" s="1" t="s">
        <v>882</v>
      </c>
      <c r="F188" s="15" t="n">
        <v>2067</v>
      </c>
      <c r="G188" s="15" t="n">
        <f aca="false">F188/D188</f>
        <v>807.421875</v>
      </c>
      <c r="H188" s="16" t="n">
        <f aca="false">(I188/G188-1)*-1</f>
        <v>0.282902757619739</v>
      </c>
      <c r="I188" s="15" t="n">
        <v>579</v>
      </c>
    </row>
    <row r="189" customFormat="false" ht="15" hidden="false" customHeight="false" outlineLevel="0" collapsed="false">
      <c r="A189" s="1" t="s">
        <v>504</v>
      </c>
      <c r="B189" s="1" t="s">
        <v>889</v>
      </c>
      <c r="C189" s="1" t="s">
        <v>890</v>
      </c>
      <c r="D189" s="1" t="n">
        <v>2.56</v>
      </c>
      <c r="E189" s="1" t="s">
        <v>882</v>
      </c>
      <c r="F189" s="15" t="n">
        <v>2067</v>
      </c>
      <c r="G189" s="15" t="n">
        <f aca="false">F189/D189</f>
        <v>807.421875</v>
      </c>
      <c r="H189" s="16" t="n">
        <f aca="false">(I189/G189-1)*-1</f>
        <v>0.282902757619739</v>
      </c>
      <c r="I189" s="15" t="n">
        <v>579</v>
      </c>
    </row>
    <row r="190" customFormat="false" ht="15" hidden="false" customHeight="false" outlineLevel="0" collapsed="false">
      <c r="A190" s="1" t="s">
        <v>504</v>
      </c>
      <c r="B190" s="1" t="s">
        <v>891</v>
      </c>
      <c r="C190" s="1" t="s">
        <v>892</v>
      </c>
      <c r="D190" s="1" t="n">
        <v>2.56</v>
      </c>
      <c r="E190" s="1" t="s">
        <v>882</v>
      </c>
      <c r="F190" s="15" t="n">
        <v>2327</v>
      </c>
      <c r="G190" s="15" t="n">
        <f aca="false">F190/D190</f>
        <v>908.984375</v>
      </c>
      <c r="H190" s="16" t="n">
        <f aca="false">(I190/G190-1)*-1</f>
        <v>0.297017619252256</v>
      </c>
      <c r="I190" s="15" t="n">
        <v>639</v>
      </c>
    </row>
    <row r="191" customFormat="false" ht="15" hidden="false" customHeight="false" outlineLevel="0" collapsed="false">
      <c r="A191" s="1" t="s">
        <v>504</v>
      </c>
      <c r="B191" s="1" t="s">
        <v>893</v>
      </c>
      <c r="C191" s="1" t="s">
        <v>894</v>
      </c>
      <c r="D191" s="1" t="n">
        <v>2.56</v>
      </c>
      <c r="E191" s="1" t="s">
        <v>882</v>
      </c>
      <c r="F191" s="15" t="n">
        <v>2327</v>
      </c>
      <c r="G191" s="15" t="n">
        <f aca="false">F191/D191</f>
        <v>908.984375</v>
      </c>
      <c r="H191" s="16" t="n">
        <f aca="false">(I191/G191-1)*-1</f>
        <v>0.297017619252256</v>
      </c>
      <c r="I191" s="15" t="n">
        <v>639</v>
      </c>
    </row>
    <row r="192" customFormat="false" ht="15" hidden="false" customHeight="false" outlineLevel="0" collapsed="false">
      <c r="A192" s="1" t="s">
        <v>504</v>
      </c>
      <c r="B192" s="1" t="s">
        <v>895</v>
      </c>
      <c r="C192" s="1" t="s">
        <v>896</v>
      </c>
      <c r="D192" s="1" t="n">
        <v>2.56</v>
      </c>
      <c r="E192" s="1" t="s">
        <v>882</v>
      </c>
      <c r="F192" s="15" t="n">
        <v>2327</v>
      </c>
      <c r="G192" s="15" t="n">
        <f aca="false">F192/D192</f>
        <v>908.984375</v>
      </c>
      <c r="H192" s="16" t="n">
        <f aca="false">(I192/G192-1)*-1</f>
        <v>0.297017619252256</v>
      </c>
      <c r="I192" s="15" t="n">
        <v>639</v>
      </c>
    </row>
    <row r="193" customFormat="false" ht="15" hidden="false" customHeight="false" outlineLevel="0" collapsed="false">
      <c r="A193" s="1" t="s">
        <v>504</v>
      </c>
      <c r="B193" s="1" t="s">
        <v>897</v>
      </c>
      <c r="C193" s="1" t="s">
        <v>898</v>
      </c>
      <c r="D193" s="1" t="n">
        <v>2.56</v>
      </c>
      <c r="E193" s="1" t="s">
        <v>882</v>
      </c>
      <c r="F193" s="15" t="n">
        <v>2327</v>
      </c>
      <c r="G193" s="15" t="n">
        <f aca="false">F193/D193</f>
        <v>908.984375</v>
      </c>
      <c r="H193" s="16" t="n">
        <f aca="false">(I193/G193-1)*-1</f>
        <v>0.297017619252256</v>
      </c>
      <c r="I193" s="15" t="n">
        <v>639</v>
      </c>
    </row>
    <row r="194" customFormat="false" ht="15" hidden="false" customHeight="false" outlineLevel="0" collapsed="false">
      <c r="A194" s="1" t="s">
        <v>504</v>
      </c>
      <c r="B194" s="1" t="s">
        <v>899</v>
      </c>
      <c r="C194" s="1" t="s">
        <v>900</v>
      </c>
      <c r="D194" s="1" t="n">
        <v>2.56</v>
      </c>
      <c r="E194" s="1" t="s">
        <v>882</v>
      </c>
      <c r="F194" s="15" t="n">
        <v>2327</v>
      </c>
      <c r="G194" s="15" t="n">
        <f aca="false">F194/D194</f>
        <v>908.984375</v>
      </c>
      <c r="H194" s="16" t="n">
        <f aca="false">(I194/G194-1)*-1</f>
        <v>0.297017619252256</v>
      </c>
      <c r="I194" s="15" t="n">
        <v>639</v>
      </c>
    </row>
    <row r="195" customFormat="false" ht="15" hidden="false" customHeight="false" outlineLevel="0" collapsed="false">
      <c r="A195" s="1" t="s">
        <v>504</v>
      </c>
      <c r="B195" s="1" t="s">
        <v>901</v>
      </c>
      <c r="C195" s="1" t="s">
        <v>902</v>
      </c>
      <c r="D195" s="1" t="n">
        <v>2.56</v>
      </c>
      <c r="E195" s="1" t="s">
        <v>882</v>
      </c>
      <c r="F195" s="15" t="n">
        <v>2327</v>
      </c>
      <c r="G195" s="15" t="n">
        <f aca="false">F195/D195</f>
        <v>908.984375</v>
      </c>
      <c r="H195" s="16" t="n">
        <f aca="false">(I195/G195-1)*-1</f>
        <v>0.297017619252256</v>
      </c>
      <c r="I195" s="15" t="n">
        <v>639</v>
      </c>
    </row>
    <row r="196" customFormat="false" ht="15" hidden="false" customHeight="false" outlineLevel="0" collapsed="false">
      <c r="A196" s="1" t="s">
        <v>504</v>
      </c>
      <c r="B196" s="1" t="s">
        <v>903</v>
      </c>
      <c r="C196" s="1" t="s">
        <v>904</v>
      </c>
      <c r="D196" s="1" t="n">
        <v>2.56</v>
      </c>
      <c r="E196" s="1" t="s">
        <v>882</v>
      </c>
      <c r="F196" s="15" t="n">
        <v>2327</v>
      </c>
      <c r="G196" s="15" t="n">
        <f aca="false">F196/D196</f>
        <v>908.984375</v>
      </c>
      <c r="H196" s="16" t="n">
        <f aca="false">(I196/G196-1)*-1</f>
        <v>0.297017619252256</v>
      </c>
      <c r="I196" s="15" t="n">
        <v>639</v>
      </c>
    </row>
    <row r="197" customFormat="false" ht="15" hidden="false" customHeight="false" outlineLevel="0" collapsed="false">
      <c r="A197" s="1" t="s">
        <v>504</v>
      </c>
      <c r="B197" s="1" t="s">
        <v>891</v>
      </c>
      <c r="C197" s="1" t="s">
        <v>892</v>
      </c>
      <c r="D197" s="1" t="n">
        <v>2.56</v>
      </c>
      <c r="E197" s="1" t="s">
        <v>882</v>
      </c>
      <c r="F197" s="15" t="n">
        <v>2327</v>
      </c>
      <c r="G197" s="15" t="n">
        <f aca="false">F197/D197</f>
        <v>908.984375</v>
      </c>
      <c r="H197" s="16" t="n">
        <f aca="false">(I197/G197-1)*-1</f>
        <v>0.297017619252256</v>
      </c>
      <c r="I197" s="15" t="n">
        <v>639</v>
      </c>
    </row>
    <row r="198" customFormat="false" ht="15" hidden="false" customHeight="false" outlineLevel="0" collapsed="false">
      <c r="A198" s="1" t="s">
        <v>504</v>
      </c>
      <c r="B198" s="1" t="s">
        <v>893</v>
      </c>
      <c r="C198" s="1" t="s">
        <v>894</v>
      </c>
      <c r="D198" s="1" t="n">
        <v>2.56</v>
      </c>
      <c r="E198" s="1" t="s">
        <v>882</v>
      </c>
      <c r="F198" s="15" t="n">
        <v>2327</v>
      </c>
      <c r="G198" s="15" t="n">
        <f aca="false">F198/D198</f>
        <v>908.984375</v>
      </c>
      <c r="H198" s="16" t="n">
        <f aca="false">(I198/G198-1)*-1</f>
        <v>0.297017619252256</v>
      </c>
      <c r="I198" s="15" t="n">
        <v>639</v>
      </c>
    </row>
    <row r="199" customFormat="false" ht="15" hidden="false" customHeight="false" outlineLevel="0" collapsed="false">
      <c r="A199" s="1" t="s">
        <v>504</v>
      </c>
      <c r="B199" s="1" t="s">
        <v>905</v>
      </c>
      <c r="C199" s="1" t="s">
        <v>906</v>
      </c>
      <c r="D199" s="1" t="n">
        <v>2.56</v>
      </c>
      <c r="E199" s="1" t="s">
        <v>882</v>
      </c>
      <c r="F199" s="15" t="n">
        <v>2587</v>
      </c>
      <c r="G199" s="15" t="n">
        <f aca="false">F199/D199</f>
        <v>1010.546875</v>
      </c>
      <c r="H199" s="16" t="n">
        <f aca="false">(I199/G199-1)*-1</f>
        <v>0.318190954773869</v>
      </c>
      <c r="I199" s="15" t="n">
        <v>689</v>
      </c>
    </row>
    <row r="200" customFormat="false" ht="15" hidden="false" customHeight="false" outlineLevel="0" collapsed="false">
      <c r="A200" s="1" t="s">
        <v>504</v>
      </c>
      <c r="B200" s="1" t="s">
        <v>907</v>
      </c>
      <c r="C200" s="1" t="s">
        <v>908</v>
      </c>
      <c r="D200" s="1" t="n">
        <v>2.56</v>
      </c>
      <c r="E200" s="1" t="s">
        <v>882</v>
      </c>
      <c r="F200" s="15" t="n">
        <v>2587</v>
      </c>
      <c r="G200" s="15" t="n">
        <f aca="false">F200/D200</f>
        <v>1010.546875</v>
      </c>
      <c r="H200" s="16" t="n">
        <f aca="false">(I200/G200-1)*-1</f>
        <v>0.318190954773869</v>
      </c>
      <c r="I200" s="15" t="n">
        <v>689</v>
      </c>
    </row>
    <row r="201" customFormat="false" ht="15" hidden="false" customHeight="false" outlineLevel="0" collapsed="false">
      <c r="A201" s="1" t="s">
        <v>504</v>
      </c>
      <c r="B201" s="1" t="s">
        <v>909</v>
      </c>
      <c r="C201" s="1" t="s">
        <v>910</v>
      </c>
      <c r="D201" s="1" t="n">
        <v>1.92</v>
      </c>
      <c r="E201" s="1" t="s">
        <v>911</v>
      </c>
      <c r="F201" s="15" t="n">
        <v>999</v>
      </c>
      <c r="G201" s="15" t="n">
        <f aca="false">F201/D201</f>
        <v>520.3125</v>
      </c>
      <c r="H201" s="16" t="n">
        <f aca="false">(I201/G201-1)*-1</f>
        <v>0.290810810810811</v>
      </c>
      <c r="I201" s="15" t="n">
        <v>369</v>
      </c>
    </row>
    <row r="202" customFormat="false" ht="15" hidden="false" customHeight="false" outlineLevel="0" collapsed="false">
      <c r="A202" s="1" t="s">
        <v>504</v>
      </c>
      <c r="B202" s="1" t="s">
        <v>912</v>
      </c>
      <c r="C202" s="1" t="s">
        <v>913</v>
      </c>
      <c r="D202" s="1" t="n">
        <v>1.92</v>
      </c>
      <c r="E202" s="1" t="s">
        <v>911</v>
      </c>
      <c r="F202" s="15" t="n">
        <v>999</v>
      </c>
      <c r="G202" s="15" t="n">
        <f aca="false">F202/D202</f>
        <v>520.3125</v>
      </c>
      <c r="H202" s="16" t="n">
        <f aca="false">(I202/G202-1)*-1</f>
        <v>0.213933933933934</v>
      </c>
      <c r="I202" s="15" t="n">
        <v>409</v>
      </c>
    </row>
    <row r="203" customFormat="false" ht="15" hidden="false" customHeight="false" outlineLevel="0" collapsed="false">
      <c r="A203" s="1" t="s">
        <v>504</v>
      </c>
      <c r="B203" s="1" t="s">
        <v>914</v>
      </c>
      <c r="C203" s="1" t="s">
        <v>915</v>
      </c>
      <c r="D203" s="1" t="n">
        <v>1.62</v>
      </c>
      <c r="E203" s="1" t="s">
        <v>916</v>
      </c>
      <c r="F203" s="15" t="n">
        <v>1807</v>
      </c>
      <c r="G203" s="15" t="n">
        <f aca="false">F203/D203</f>
        <v>1115.43209876543</v>
      </c>
      <c r="H203" s="16" t="n">
        <f aca="false">(I203/G203-1)*-1</f>
        <v>0.418162700608744</v>
      </c>
      <c r="I203" s="15" t="n">
        <v>649</v>
      </c>
    </row>
    <row r="204" customFormat="false" ht="15" hidden="false" customHeight="false" outlineLevel="0" collapsed="false">
      <c r="A204" s="1" t="s">
        <v>504</v>
      </c>
      <c r="B204" s="1" t="s">
        <v>917</v>
      </c>
      <c r="C204" s="1" t="s">
        <v>918</v>
      </c>
      <c r="D204" s="1" t="n">
        <v>1.62</v>
      </c>
      <c r="E204" s="1" t="s">
        <v>916</v>
      </c>
      <c r="F204" s="15" t="n">
        <v>1807</v>
      </c>
      <c r="G204" s="15" t="n">
        <f aca="false">F204/D204</f>
        <v>1115.43209876543</v>
      </c>
      <c r="H204" s="16" t="n">
        <f aca="false">(I204/G204-1)*-1</f>
        <v>0.418162700608744</v>
      </c>
      <c r="I204" s="15" t="n">
        <v>649</v>
      </c>
    </row>
    <row r="205" customFormat="false" ht="15" hidden="false" customHeight="false" outlineLevel="0" collapsed="false">
      <c r="A205" s="1" t="s">
        <v>504</v>
      </c>
      <c r="B205" s="1" t="s">
        <v>919</v>
      </c>
      <c r="C205" s="1" t="s">
        <v>920</v>
      </c>
      <c r="D205" s="1" t="n">
        <v>3.24</v>
      </c>
      <c r="E205" s="1" t="s">
        <v>916</v>
      </c>
      <c r="F205" s="15" t="n">
        <v>3614</v>
      </c>
      <c r="G205" s="15" t="n">
        <f aca="false">F205/D205</f>
        <v>1115.43209876543</v>
      </c>
      <c r="H205" s="16" t="n">
        <f aca="false">(I205/G205-1)*-1</f>
        <v>0.418162700608744</v>
      </c>
      <c r="I205" s="15" t="n">
        <v>649</v>
      </c>
    </row>
    <row r="206" customFormat="false" ht="15" hidden="false" customHeight="false" outlineLevel="0" collapsed="false">
      <c r="A206" s="1" t="s">
        <v>504</v>
      </c>
      <c r="B206" s="1" t="s">
        <v>921</v>
      </c>
      <c r="C206" s="1" t="s">
        <v>922</v>
      </c>
      <c r="D206" s="1" t="n">
        <v>1.62</v>
      </c>
      <c r="E206" s="1" t="s">
        <v>916</v>
      </c>
      <c r="F206" s="15" t="n">
        <v>1807</v>
      </c>
      <c r="G206" s="15" t="n">
        <f aca="false">F206/D206</f>
        <v>1115.43209876543</v>
      </c>
      <c r="H206" s="16" t="n">
        <f aca="false">(I206/G206-1)*-1</f>
        <v>0.418162700608744</v>
      </c>
      <c r="I206" s="15" t="n">
        <v>649</v>
      </c>
    </row>
    <row r="207" customFormat="false" ht="15" hidden="false" customHeight="false" outlineLevel="0" collapsed="false">
      <c r="A207" s="1" t="s">
        <v>504</v>
      </c>
      <c r="B207" s="1" t="s">
        <v>923</v>
      </c>
      <c r="C207" s="1" t="s">
        <v>924</v>
      </c>
      <c r="D207" s="1" t="n">
        <v>3.24</v>
      </c>
      <c r="E207" s="1" t="s">
        <v>916</v>
      </c>
      <c r="F207" s="15" t="n">
        <v>3614</v>
      </c>
      <c r="G207" s="15" t="n">
        <f aca="false">F207/D207</f>
        <v>1115.43209876543</v>
      </c>
      <c r="H207" s="16" t="n">
        <f aca="false">(I207/G207-1)*-1</f>
        <v>0.418162700608744</v>
      </c>
      <c r="I207" s="15" t="n">
        <v>649</v>
      </c>
    </row>
    <row r="208" customFormat="false" ht="15" hidden="false" customHeight="false" outlineLevel="0" collapsed="false">
      <c r="A208" s="1" t="s">
        <v>504</v>
      </c>
      <c r="B208" s="1" t="s">
        <v>925</v>
      </c>
      <c r="C208" s="1" t="s">
        <v>926</v>
      </c>
      <c r="D208" s="1" t="n">
        <v>1.62</v>
      </c>
      <c r="E208" s="1" t="s">
        <v>916</v>
      </c>
      <c r="F208" s="15" t="n">
        <v>1807</v>
      </c>
      <c r="G208" s="15" t="n">
        <f aca="false">F208/D208</f>
        <v>1115.43209876543</v>
      </c>
      <c r="H208" s="16" t="n">
        <f aca="false">(I208/G208-1)*-1</f>
        <v>0.418162700608744</v>
      </c>
      <c r="I208" s="15" t="n">
        <v>649</v>
      </c>
    </row>
    <row r="209" customFormat="false" ht="15" hidden="false" customHeight="false" outlineLevel="0" collapsed="false">
      <c r="A209" s="1" t="s">
        <v>504</v>
      </c>
      <c r="B209" s="1" t="s">
        <v>927</v>
      </c>
      <c r="C209" s="1" t="s">
        <v>928</v>
      </c>
      <c r="D209" s="1" t="n">
        <v>1.62</v>
      </c>
      <c r="E209" s="1" t="s">
        <v>916</v>
      </c>
      <c r="F209" s="15" t="n">
        <v>1807</v>
      </c>
      <c r="G209" s="15" t="n">
        <f aca="false">F209/D209</f>
        <v>1115.43209876543</v>
      </c>
      <c r="H209" s="16" t="n">
        <f aca="false">(I209/G209-1)*-1</f>
        <v>0.418162700608744</v>
      </c>
      <c r="I209" s="15" t="n">
        <v>649</v>
      </c>
    </row>
    <row r="210" customFormat="false" ht="15" hidden="false" customHeight="false" outlineLevel="0" collapsed="false">
      <c r="A210" s="1" t="s">
        <v>504</v>
      </c>
      <c r="B210" s="1" t="s">
        <v>929</v>
      </c>
      <c r="C210" s="1" t="s">
        <v>930</v>
      </c>
      <c r="D210" s="1" t="n">
        <v>1.62</v>
      </c>
      <c r="E210" s="1" t="s">
        <v>916</v>
      </c>
      <c r="F210" s="15" t="n">
        <v>1807</v>
      </c>
      <c r="G210" s="15" t="n">
        <f aca="false">F210/D210</f>
        <v>1115.43209876543</v>
      </c>
      <c r="H210" s="16" t="n">
        <f aca="false">(I210/G210-1)*-1</f>
        <v>0.418162700608744</v>
      </c>
      <c r="I210" s="15" t="n">
        <v>649</v>
      </c>
    </row>
    <row r="211" customFormat="false" ht="15" hidden="false" customHeight="false" outlineLevel="0" collapsed="false">
      <c r="A211" s="1" t="s">
        <v>504</v>
      </c>
      <c r="B211" s="1" t="s">
        <v>931</v>
      </c>
      <c r="C211" s="1" t="s">
        <v>932</v>
      </c>
      <c r="D211" s="1" t="n">
        <v>1.62</v>
      </c>
      <c r="E211" s="1" t="s">
        <v>916</v>
      </c>
      <c r="F211" s="15" t="n">
        <v>1807</v>
      </c>
      <c r="G211" s="15" t="n">
        <f aca="false">F211/D211</f>
        <v>1115.43209876543</v>
      </c>
      <c r="H211" s="16" t="n">
        <f aca="false">(I211/G211-1)*-1</f>
        <v>0.337476480354178</v>
      </c>
      <c r="I211" s="15" t="n">
        <v>739</v>
      </c>
    </row>
    <row r="212" customFormat="false" ht="15" hidden="false" customHeight="false" outlineLevel="0" collapsed="false">
      <c r="A212" s="1" t="s">
        <v>504</v>
      </c>
      <c r="B212" s="1" t="s">
        <v>933</v>
      </c>
      <c r="C212" s="1" t="s">
        <v>934</v>
      </c>
      <c r="D212" s="1" t="n">
        <v>1.62</v>
      </c>
      <c r="E212" s="1" t="s">
        <v>916</v>
      </c>
      <c r="F212" s="15" t="n">
        <v>1807</v>
      </c>
      <c r="G212" s="15" t="n">
        <f aca="false">F212/D212</f>
        <v>1115.43209876543</v>
      </c>
      <c r="H212" s="16" t="n">
        <f aca="false">(I212/G212-1)*-1</f>
        <v>0.337476480354178</v>
      </c>
      <c r="I212" s="15" t="n">
        <v>739</v>
      </c>
    </row>
    <row r="213" customFormat="false" ht="15" hidden="false" customHeight="false" outlineLevel="0" collapsed="false">
      <c r="A213" s="1" t="s">
        <v>504</v>
      </c>
      <c r="B213" s="1" t="s">
        <v>935</v>
      </c>
      <c r="C213" s="1" t="s">
        <v>936</v>
      </c>
      <c r="D213" s="1" t="n">
        <v>3.24</v>
      </c>
      <c r="E213" s="1" t="s">
        <v>916</v>
      </c>
      <c r="F213" s="15" t="n">
        <v>3770</v>
      </c>
      <c r="G213" s="15" t="n">
        <f aca="false">F213/D213</f>
        <v>1163.58024691358</v>
      </c>
      <c r="H213" s="16" t="n">
        <f aca="false">(I213/G213-1)*-1</f>
        <v>0.31332625994695</v>
      </c>
      <c r="I213" s="15" t="n">
        <v>799</v>
      </c>
    </row>
    <row r="214" customFormat="false" ht="15" hidden="false" customHeight="false" outlineLevel="0" collapsed="false">
      <c r="A214" s="1" t="s">
        <v>504</v>
      </c>
      <c r="B214" s="1" t="s">
        <v>937</v>
      </c>
      <c r="C214" s="1" t="s">
        <v>938</v>
      </c>
      <c r="D214" s="1" t="n">
        <v>1</v>
      </c>
      <c r="E214" s="1" t="s">
        <v>939</v>
      </c>
      <c r="F214" s="15" t="n">
        <v>549</v>
      </c>
      <c r="G214" s="15" t="n">
        <f aca="false">F214/D214</f>
        <v>549</v>
      </c>
      <c r="H214" s="16" t="n">
        <f aca="false">(I214/G214-1)*-1</f>
        <v>0.710382513661202</v>
      </c>
      <c r="I214" s="15" t="n">
        <v>159</v>
      </c>
    </row>
    <row r="215" customFormat="false" ht="15" hidden="false" customHeight="false" outlineLevel="0" collapsed="false">
      <c r="A215" s="1" t="s">
        <v>504</v>
      </c>
      <c r="B215" s="1" t="s">
        <v>940</v>
      </c>
      <c r="C215" s="1" t="s">
        <v>941</v>
      </c>
      <c r="D215" s="1" t="n">
        <v>1</v>
      </c>
      <c r="E215" s="1" t="s">
        <v>939</v>
      </c>
      <c r="F215" s="15" t="n">
        <v>549</v>
      </c>
      <c r="G215" s="15" t="n">
        <f aca="false">F215/D215</f>
        <v>549</v>
      </c>
      <c r="H215" s="16" t="n">
        <f aca="false">(I215/G215-1)*-1</f>
        <v>0.710382513661202</v>
      </c>
      <c r="I215" s="15" t="n">
        <v>159</v>
      </c>
    </row>
    <row r="216" customFormat="false" ht="15" hidden="false" customHeight="false" outlineLevel="0" collapsed="false">
      <c r="A216" s="1" t="s">
        <v>504</v>
      </c>
      <c r="B216" s="1" t="s">
        <v>942</v>
      </c>
      <c r="C216" s="1" t="s">
        <v>943</v>
      </c>
      <c r="D216" s="1" t="n">
        <v>1</v>
      </c>
      <c r="E216" s="1" t="s">
        <v>939</v>
      </c>
      <c r="F216" s="15" t="n">
        <v>549</v>
      </c>
      <c r="G216" s="15" t="n">
        <f aca="false">F216/D216</f>
        <v>549</v>
      </c>
      <c r="H216" s="16" t="n">
        <f aca="false">(I216/G216-1)*-1</f>
        <v>0.710382513661202</v>
      </c>
      <c r="I216" s="15" t="n">
        <v>159</v>
      </c>
    </row>
    <row r="217" customFormat="false" ht="15" hidden="false" customHeight="false" outlineLevel="0" collapsed="false">
      <c r="A217" s="1" t="s">
        <v>504</v>
      </c>
      <c r="B217" s="1" t="s">
        <v>944</v>
      </c>
      <c r="C217" s="1" t="s">
        <v>945</v>
      </c>
      <c r="D217" s="1" t="n">
        <v>1</v>
      </c>
      <c r="E217" s="1" t="s">
        <v>939</v>
      </c>
      <c r="F217" s="15" t="n">
        <v>549</v>
      </c>
      <c r="G217" s="15" t="n">
        <f aca="false">F217/D217</f>
        <v>549</v>
      </c>
      <c r="H217" s="16" t="n">
        <f aca="false">(I217/G217-1)*-1</f>
        <v>0.710382513661202</v>
      </c>
      <c r="I217" s="15" t="n">
        <v>159</v>
      </c>
    </row>
    <row r="218" customFormat="false" ht="15" hidden="false" customHeight="false" outlineLevel="0" collapsed="false">
      <c r="A218" s="1" t="s">
        <v>504</v>
      </c>
      <c r="B218" s="1" t="s">
        <v>946</v>
      </c>
      <c r="C218" s="1" t="s">
        <v>947</v>
      </c>
      <c r="D218" s="1" t="n">
        <v>1</v>
      </c>
      <c r="E218" s="1" t="s">
        <v>939</v>
      </c>
      <c r="F218" s="15" t="n">
        <v>549</v>
      </c>
      <c r="G218" s="15" t="n">
        <f aca="false">F218/D218</f>
        <v>549</v>
      </c>
      <c r="H218" s="16" t="n">
        <f aca="false">(I218/G218-1)*-1</f>
        <v>0.710382513661202</v>
      </c>
      <c r="I218" s="15" t="n">
        <v>159</v>
      </c>
    </row>
    <row r="219" customFormat="false" ht="15" hidden="false" customHeight="false" outlineLevel="0" collapsed="false">
      <c r="A219" s="1" t="s">
        <v>504</v>
      </c>
      <c r="B219" s="1" t="s">
        <v>948</v>
      </c>
      <c r="C219" s="1" t="s">
        <v>949</v>
      </c>
      <c r="D219" s="1" t="n">
        <v>1</v>
      </c>
      <c r="E219" s="1" t="s">
        <v>939</v>
      </c>
      <c r="F219" s="15" t="n">
        <v>549</v>
      </c>
      <c r="G219" s="15" t="n">
        <f aca="false">F219/D219</f>
        <v>549</v>
      </c>
      <c r="H219" s="16" t="n">
        <f aca="false">(I219/G219-1)*-1</f>
        <v>0.710382513661202</v>
      </c>
      <c r="I219" s="15" t="n">
        <v>159</v>
      </c>
    </row>
    <row r="220" customFormat="false" ht="15" hidden="false" customHeight="false" outlineLevel="0" collapsed="false">
      <c r="A220" s="1" t="s">
        <v>504</v>
      </c>
      <c r="B220" s="1" t="s">
        <v>950</v>
      </c>
      <c r="C220" s="1" t="s">
        <v>951</v>
      </c>
      <c r="D220" s="1" t="n">
        <v>1</v>
      </c>
      <c r="E220" s="1" t="s">
        <v>939</v>
      </c>
      <c r="F220" s="15" t="n">
        <v>549</v>
      </c>
      <c r="G220" s="15" t="n">
        <f aca="false">F220/D220</f>
        <v>549</v>
      </c>
      <c r="H220" s="16" t="n">
        <f aca="false">(I220/G220-1)*-1</f>
        <v>0.710382513661202</v>
      </c>
      <c r="I220" s="15" t="n">
        <v>159</v>
      </c>
    </row>
    <row r="221" customFormat="false" ht="15" hidden="false" customHeight="false" outlineLevel="0" collapsed="false">
      <c r="A221" s="1" t="s">
        <v>504</v>
      </c>
      <c r="B221" s="1" t="s">
        <v>952</v>
      </c>
      <c r="C221" s="1" t="s">
        <v>953</v>
      </c>
      <c r="D221" s="1" t="n">
        <v>1</v>
      </c>
      <c r="E221" s="1" t="s">
        <v>939</v>
      </c>
      <c r="F221" s="15" t="n">
        <v>549</v>
      </c>
      <c r="G221" s="15" t="n">
        <f aca="false">F221/D221</f>
        <v>549</v>
      </c>
      <c r="H221" s="16" t="n">
        <f aca="false">(I221/G221-1)*-1</f>
        <v>0.710382513661202</v>
      </c>
      <c r="I221" s="15" t="n">
        <v>159</v>
      </c>
    </row>
    <row r="222" customFormat="false" ht="15" hidden="false" customHeight="false" outlineLevel="0" collapsed="false">
      <c r="A222" s="1" t="s">
        <v>504</v>
      </c>
      <c r="B222" s="1" t="s">
        <v>954</v>
      </c>
      <c r="C222" s="1" t="s">
        <v>955</v>
      </c>
      <c r="D222" s="1" t="n">
        <v>1</v>
      </c>
      <c r="E222" s="1" t="s">
        <v>939</v>
      </c>
      <c r="F222" s="15" t="n">
        <v>549</v>
      </c>
      <c r="G222" s="15" t="n">
        <f aca="false">F222/D222</f>
        <v>549</v>
      </c>
      <c r="H222" s="16" t="n">
        <f aca="false">(I222/G222-1)*-1</f>
        <v>0.710382513661202</v>
      </c>
      <c r="I222" s="15" t="n">
        <v>159</v>
      </c>
    </row>
    <row r="223" customFormat="false" ht="15" hidden="false" customHeight="false" outlineLevel="0" collapsed="false">
      <c r="A223" s="1" t="s">
        <v>504</v>
      </c>
      <c r="B223" s="1" t="s">
        <v>956</v>
      </c>
      <c r="C223" s="1" t="s">
        <v>957</v>
      </c>
      <c r="D223" s="1" t="n">
        <v>1</v>
      </c>
      <c r="E223" s="1" t="s">
        <v>939</v>
      </c>
      <c r="F223" s="15" t="n">
        <v>549</v>
      </c>
      <c r="G223" s="15" t="n">
        <f aca="false">F223/D223</f>
        <v>549</v>
      </c>
      <c r="H223" s="16" t="n">
        <f aca="false">(I223/G223-1)*-1</f>
        <v>0.710382513661202</v>
      </c>
      <c r="I223" s="15" t="n">
        <v>159</v>
      </c>
    </row>
    <row r="224" customFormat="false" ht="15" hidden="false" customHeight="false" outlineLevel="0" collapsed="false">
      <c r="A224" s="1" t="s">
        <v>504</v>
      </c>
      <c r="B224" s="1" t="s">
        <v>958</v>
      </c>
      <c r="C224" s="1" t="s">
        <v>959</v>
      </c>
      <c r="D224" s="1" t="n">
        <v>1</v>
      </c>
      <c r="E224" s="1" t="s">
        <v>939</v>
      </c>
      <c r="F224" s="15" t="n">
        <v>549</v>
      </c>
      <c r="G224" s="15" t="n">
        <f aca="false">F224/D224</f>
        <v>549</v>
      </c>
      <c r="H224" s="16" t="n">
        <f aca="false">(I224/G224-1)*-1</f>
        <v>0.710382513661202</v>
      </c>
      <c r="I224" s="15" t="n">
        <v>159</v>
      </c>
    </row>
    <row r="225" customFormat="false" ht="15" hidden="false" customHeight="false" outlineLevel="0" collapsed="false">
      <c r="A225" s="1" t="s">
        <v>504</v>
      </c>
      <c r="B225" s="1" t="s">
        <v>960</v>
      </c>
      <c r="C225" s="1" t="s">
        <v>961</v>
      </c>
      <c r="D225" s="1" t="n">
        <v>1</v>
      </c>
      <c r="E225" s="1" t="s">
        <v>939</v>
      </c>
      <c r="F225" s="15" t="n">
        <v>599</v>
      </c>
      <c r="G225" s="15" t="n">
        <f aca="false">F225/D225</f>
        <v>599</v>
      </c>
      <c r="H225" s="16" t="n">
        <f aca="false">(I225/G225-1)*-1</f>
        <v>0.667779632721202</v>
      </c>
      <c r="I225" s="15" t="n">
        <v>199</v>
      </c>
    </row>
    <row r="226" customFormat="false" ht="15" hidden="false" customHeight="false" outlineLevel="0" collapsed="false">
      <c r="A226" s="1" t="s">
        <v>504</v>
      </c>
      <c r="B226" s="1" t="s">
        <v>962</v>
      </c>
      <c r="C226" s="1" t="s">
        <v>963</v>
      </c>
      <c r="D226" s="1" t="n">
        <v>1</v>
      </c>
      <c r="E226" s="1" t="s">
        <v>939</v>
      </c>
      <c r="F226" s="15" t="n">
        <v>599</v>
      </c>
      <c r="G226" s="15" t="n">
        <f aca="false">F226/D226</f>
        <v>599</v>
      </c>
      <c r="H226" s="16" t="n">
        <f aca="false">(I226/G226-1)*-1</f>
        <v>0.667779632721202</v>
      </c>
      <c r="I226" s="15" t="n">
        <v>199</v>
      </c>
    </row>
    <row r="227" customFormat="false" ht="15" hidden="false" customHeight="false" outlineLevel="0" collapsed="false">
      <c r="A227" s="1" t="s">
        <v>504</v>
      </c>
      <c r="B227" s="1" t="s">
        <v>964</v>
      </c>
      <c r="C227" s="1" t="s">
        <v>965</v>
      </c>
      <c r="D227" s="1" t="n">
        <v>1</v>
      </c>
      <c r="E227" s="1" t="s">
        <v>966</v>
      </c>
      <c r="F227" s="15" t="n">
        <v>238.8</v>
      </c>
      <c r="G227" s="15" t="n">
        <f aca="false">F227/D227</f>
        <v>238.8</v>
      </c>
      <c r="H227" s="16" t="n">
        <f aca="false">(I227/G227-1)*-1</f>
        <v>0.124790619765494</v>
      </c>
      <c r="I227" s="15" t="n">
        <v>209</v>
      </c>
    </row>
    <row r="228" customFormat="false" ht="15" hidden="false" customHeight="false" outlineLevel="0" collapsed="false">
      <c r="A228" s="1" t="s">
        <v>504</v>
      </c>
      <c r="B228" s="1" t="s">
        <v>967</v>
      </c>
      <c r="C228" s="1" t="s">
        <v>968</v>
      </c>
      <c r="D228" s="1" t="n">
        <v>1.21</v>
      </c>
      <c r="E228" s="1" t="s">
        <v>969</v>
      </c>
      <c r="F228" s="15" t="n">
        <v>288.948</v>
      </c>
      <c r="G228" s="15" t="n">
        <f aca="false">F228/D228</f>
        <v>238.8</v>
      </c>
      <c r="H228" s="16" t="n">
        <f aca="false">(I228/G228-1)*-1</f>
        <v>0.124790619765494</v>
      </c>
      <c r="I228" s="15" t="n">
        <v>209</v>
      </c>
    </row>
    <row r="229" customFormat="false" ht="15" hidden="false" customHeight="false" outlineLevel="0" collapsed="false">
      <c r="A229" s="1" t="s">
        <v>504</v>
      </c>
      <c r="B229" s="1" t="s">
        <v>970</v>
      </c>
      <c r="C229" s="1" t="s">
        <v>971</v>
      </c>
      <c r="D229" s="1" t="n">
        <v>1.68</v>
      </c>
      <c r="E229" s="1" t="s">
        <v>972</v>
      </c>
      <c r="F229" s="15" t="n">
        <v>659</v>
      </c>
      <c r="G229" s="15" t="n">
        <f aca="false">F229/D229</f>
        <v>392.261904761905</v>
      </c>
      <c r="H229" s="16" t="n">
        <f aca="false">(I229/G229-1)*-1</f>
        <v>0.416206373292868</v>
      </c>
      <c r="I229" s="15" t="n">
        <v>229</v>
      </c>
      <c r="J229" s="15" t="n">
        <v>219</v>
      </c>
    </row>
    <row r="230" customFormat="false" ht="15" hidden="false" customHeight="false" outlineLevel="0" collapsed="false">
      <c r="A230" s="1" t="s">
        <v>504</v>
      </c>
      <c r="B230" s="1" t="s">
        <v>973</v>
      </c>
      <c r="C230" s="1" t="s">
        <v>974</v>
      </c>
      <c r="D230" s="1" t="n">
        <v>1.68</v>
      </c>
      <c r="E230" s="1" t="s">
        <v>972</v>
      </c>
      <c r="F230" s="15" t="n">
        <v>659</v>
      </c>
      <c r="G230" s="15" t="n">
        <f aca="false">F230/D230</f>
        <v>392.261904761905</v>
      </c>
      <c r="H230" s="16" t="n">
        <f aca="false">(I230/G230-1)*-1</f>
        <v>0.416206373292868</v>
      </c>
      <c r="I230" s="15" t="n">
        <v>229</v>
      </c>
      <c r="J230" s="15" t="n">
        <v>219</v>
      </c>
    </row>
    <row r="231" customFormat="false" ht="15" hidden="false" customHeight="false" outlineLevel="0" collapsed="false">
      <c r="A231" s="1" t="s">
        <v>504</v>
      </c>
      <c r="B231" s="1" t="s">
        <v>975</v>
      </c>
      <c r="C231" s="1" t="s">
        <v>976</v>
      </c>
      <c r="D231" s="1" t="n">
        <v>1.68</v>
      </c>
      <c r="E231" s="1" t="s">
        <v>972</v>
      </c>
      <c r="F231" s="15" t="n">
        <v>659</v>
      </c>
      <c r="G231" s="15" t="n">
        <f aca="false">F231/D231</f>
        <v>392.261904761905</v>
      </c>
      <c r="H231" s="16" t="n">
        <f aca="false">(I231/G231-1)*-1</f>
        <v>0.416206373292868</v>
      </c>
      <c r="I231" s="15" t="n">
        <v>229</v>
      </c>
      <c r="J231" s="15" t="n">
        <v>159</v>
      </c>
      <c r="K231" s="11" t="s">
        <v>524</v>
      </c>
    </row>
    <row r="232" customFormat="false" ht="15" hidden="false" customHeight="false" outlineLevel="0" collapsed="false">
      <c r="A232" s="1" t="s">
        <v>504</v>
      </c>
      <c r="B232" s="1" t="s">
        <v>977</v>
      </c>
      <c r="C232" s="1" t="s">
        <v>978</v>
      </c>
      <c r="D232" s="1" t="n">
        <v>2.79</v>
      </c>
      <c r="E232" s="1" t="s">
        <v>859</v>
      </c>
      <c r="F232" s="15" t="n">
        <v>899</v>
      </c>
      <c r="G232" s="15" t="n">
        <f aca="false">F232/D232</f>
        <v>322.222222222222</v>
      </c>
      <c r="H232" s="16" t="n">
        <f aca="false">(I232/G232-1)*-1</f>
        <v>0.258275862068966</v>
      </c>
      <c r="I232" s="15" t="n">
        <v>239</v>
      </c>
      <c r="J232" s="15" t="n">
        <v>229</v>
      </c>
    </row>
    <row r="233" customFormat="false" ht="15" hidden="false" customHeight="false" outlineLevel="0" collapsed="false">
      <c r="A233" s="1" t="s">
        <v>504</v>
      </c>
      <c r="B233" s="1" t="s">
        <v>979</v>
      </c>
      <c r="C233" s="1" t="s">
        <v>980</v>
      </c>
      <c r="D233" s="1" t="n">
        <v>1</v>
      </c>
      <c r="E233" s="1" t="s">
        <v>981</v>
      </c>
      <c r="F233" s="15" t="n">
        <v>319</v>
      </c>
      <c r="G233" s="15" t="n">
        <f aca="false">F233/D233</f>
        <v>319</v>
      </c>
      <c r="H233" s="16" t="n">
        <f aca="false">(I233/G233-1)*-1</f>
        <v>0.25</v>
      </c>
      <c r="I233" s="15" t="n">
        <v>239.25</v>
      </c>
    </row>
    <row r="234" customFormat="false" ht="15" hidden="false" customHeight="false" outlineLevel="0" collapsed="false">
      <c r="A234" s="1" t="s">
        <v>504</v>
      </c>
      <c r="B234" s="1" t="s">
        <v>982</v>
      </c>
      <c r="C234" s="1" t="s">
        <v>983</v>
      </c>
      <c r="D234" s="1" t="n">
        <v>1</v>
      </c>
      <c r="E234" s="1" t="s">
        <v>981</v>
      </c>
      <c r="F234" s="15" t="n">
        <v>319</v>
      </c>
      <c r="G234" s="15" t="n">
        <f aca="false">F234/D234</f>
        <v>319</v>
      </c>
      <c r="H234" s="16" t="n">
        <f aca="false">(I234/G234-1)*-1</f>
        <v>0.25</v>
      </c>
      <c r="I234" s="15" t="n">
        <v>239.25</v>
      </c>
    </row>
    <row r="235" customFormat="false" ht="15" hidden="false" customHeight="false" outlineLevel="0" collapsed="false">
      <c r="A235" s="1" t="s">
        <v>504</v>
      </c>
      <c r="B235" s="1" t="s">
        <v>984</v>
      </c>
      <c r="C235" s="1" t="s">
        <v>985</v>
      </c>
      <c r="D235" s="1" t="n">
        <v>1</v>
      </c>
      <c r="E235" s="1" t="s">
        <v>986</v>
      </c>
      <c r="F235" s="15" t="n">
        <v>332</v>
      </c>
      <c r="G235" s="15" t="n">
        <f aca="false">F235/D235</f>
        <v>332</v>
      </c>
      <c r="H235" s="16" t="n">
        <f aca="false">(I235/G235-1)*-1</f>
        <v>0.25</v>
      </c>
      <c r="I235" s="15" t="n">
        <v>249</v>
      </c>
    </row>
    <row r="236" customFormat="false" ht="15" hidden="false" customHeight="false" outlineLevel="0" collapsed="false">
      <c r="A236" s="1" t="s">
        <v>504</v>
      </c>
      <c r="B236" s="1" t="s">
        <v>987</v>
      </c>
      <c r="C236" s="1" t="s">
        <v>988</v>
      </c>
      <c r="D236" s="1" t="n">
        <v>1</v>
      </c>
      <c r="E236" s="1" t="s">
        <v>986</v>
      </c>
      <c r="F236" s="15" t="n">
        <v>332</v>
      </c>
      <c r="G236" s="15" t="n">
        <f aca="false">F236/D236</f>
        <v>332</v>
      </c>
      <c r="H236" s="16" t="n">
        <f aca="false">(I236/G236-1)*-1</f>
        <v>0.25</v>
      </c>
      <c r="I236" s="15" t="n">
        <v>249</v>
      </c>
    </row>
    <row r="237" customFormat="false" ht="15" hidden="false" customHeight="false" outlineLevel="0" collapsed="false">
      <c r="A237" s="1" t="s">
        <v>504</v>
      </c>
      <c r="B237" s="1" t="s">
        <v>989</v>
      </c>
      <c r="C237" s="1" t="s">
        <v>990</v>
      </c>
      <c r="D237" s="1" t="n">
        <v>2.88</v>
      </c>
      <c r="E237" s="1" t="s">
        <v>207</v>
      </c>
      <c r="F237" s="15" t="n">
        <v>1339</v>
      </c>
      <c r="G237" s="15" t="n">
        <f aca="false">F237/D237</f>
        <v>464.930555555556</v>
      </c>
      <c r="H237" s="16" t="n">
        <f aca="false">(I237/G237-1)*-1</f>
        <v>0.356893203883495</v>
      </c>
      <c r="I237" s="15" t="n">
        <v>299</v>
      </c>
      <c r="J237" s="15" t="n">
        <v>289</v>
      </c>
    </row>
    <row r="238" customFormat="false" ht="15" hidden="false" customHeight="false" outlineLevel="0" collapsed="false">
      <c r="A238" s="1" t="s">
        <v>504</v>
      </c>
      <c r="B238" s="1" t="s">
        <v>991</v>
      </c>
      <c r="C238" s="1" t="s">
        <v>992</v>
      </c>
      <c r="D238" s="1" t="n">
        <v>2.88</v>
      </c>
      <c r="E238" s="1" t="s">
        <v>207</v>
      </c>
      <c r="F238" s="15" t="n">
        <v>1339</v>
      </c>
      <c r="G238" s="15" t="n">
        <f aca="false">F238/D238</f>
        <v>464.930555555556</v>
      </c>
      <c r="H238" s="16" t="n">
        <f aca="false">(I238/G238-1)*-1</f>
        <v>0.356893203883495</v>
      </c>
      <c r="I238" s="15" t="n">
        <v>299</v>
      </c>
      <c r="J238" s="15" t="n">
        <v>289</v>
      </c>
    </row>
    <row r="239" customFormat="false" ht="15" hidden="false" customHeight="false" outlineLevel="0" collapsed="false">
      <c r="A239" s="1" t="s">
        <v>504</v>
      </c>
      <c r="B239" s="1" t="s">
        <v>993</v>
      </c>
      <c r="C239" s="1" t="s">
        <v>994</v>
      </c>
      <c r="D239" s="1" t="n">
        <v>2.88</v>
      </c>
      <c r="E239" s="1" t="s">
        <v>207</v>
      </c>
      <c r="F239" s="15" t="n">
        <v>1339</v>
      </c>
      <c r="G239" s="15" t="n">
        <f aca="false">F239/D239</f>
        <v>464.930555555556</v>
      </c>
      <c r="H239" s="16" t="n">
        <f aca="false">(I239/G239-1)*-1</f>
        <v>0.356893203883495</v>
      </c>
      <c r="I239" s="15" t="n">
        <v>299</v>
      </c>
      <c r="J239" s="15" t="n">
        <v>189</v>
      </c>
      <c r="K239" s="11" t="s">
        <v>524</v>
      </c>
    </row>
    <row r="240" customFormat="false" ht="15" hidden="false" customHeight="false" outlineLevel="0" collapsed="false">
      <c r="A240" s="1" t="s">
        <v>504</v>
      </c>
      <c r="B240" s="1" t="s">
        <v>995</v>
      </c>
      <c r="C240" s="1" t="s">
        <v>996</v>
      </c>
      <c r="D240" s="1" t="n">
        <v>1.92</v>
      </c>
      <c r="E240" s="1" t="s">
        <v>997</v>
      </c>
      <c r="F240" s="15" t="n">
        <v>999</v>
      </c>
      <c r="G240" s="15" t="n">
        <f aca="false">F240/D240</f>
        <v>520.3125</v>
      </c>
      <c r="H240" s="16" t="n">
        <f aca="false">(I240/G240-1)*-1</f>
        <v>0.290810810810811</v>
      </c>
      <c r="I240" s="15" t="n">
        <v>369</v>
      </c>
    </row>
    <row r="241" customFormat="false" ht="15" hidden="false" customHeight="false" outlineLevel="0" collapsed="false">
      <c r="A241" s="1" t="s">
        <v>504</v>
      </c>
      <c r="B241" s="1" t="s">
        <v>998</v>
      </c>
      <c r="C241" s="1" t="s">
        <v>999</v>
      </c>
      <c r="D241" s="1" t="n">
        <v>1.92</v>
      </c>
      <c r="E241" s="1" t="s">
        <v>997</v>
      </c>
      <c r="F241" s="15" t="n">
        <v>999</v>
      </c>
      <c r="G241" s="15" t="n">
        <f aca="false">F241/D241</f>
        <v>520.3125</v>
      </c>
      <c r="H241" s="16" t="n">
        <f aca="false">(I241/G241-1)*-1</f>
        <v>0.290810810810811</v>
      </c>
      <c r="I241" s="15" t="n">
        <v>369</v>
      </c>
    </row>
    <row r="242" customFormat="false" ht="15" hidden="false" customHeight="false" outlineLevel="0" collapsed="false">
      <c r="A242" s="1" t="s">
        <v>504</v>
      </c>
      <c r="B242" s="1" t="s">
        <v>1000</v>
      </c>
      <c r="C242" s="1" t="s">
        <v>1001</v>
      </c>
      <c r="D242" s="1" t="n">
        <v>1.92</v>
      </c>
      <c r="E242" s="1" t="s">
        <v>997</v>
      </c>
      <c r="F242" s="15" t="n">
        <v>999</v>
      </c>
      <c r="G242" s="15" t="n">
        <f aca="false">F242/D242</f>
        <v>520.3125</v>
      </c>
      <c r="H242" s="16" t="n">
        <f aca="false">(I242/G242-1)*-1</f>
        <v>0.290810810810811</v>
      </c>
      <c r="I242" s="15" t="n">
        <v>369</v>
      </c>
    </row>
    <row r="243" customFormat="false" ht="15" hidden="false" customHeight="false" outlineLevel="0" collapsed="false">
      <c r="A243" s="1" t="s">
        <v>504</v>
      </c>
      <c r="B243" s="1" t="s">
        <v>1002</v>
      </c>
      <c r="C243" s="1" t="s">
        <v>1003</v>
      </c>
      <c r="D243" s="1" t="n">
        <v>1.21</v>
      </c>
      <c r="E243" s="1" t="s">
        <v>1004</v>
      </c>
      <c r="F243" s="15" t="n">
        <v>790</v>
      </c>
      <c r="G243" s="15" t="n">
        <f aca="false">F243/D243</f>
        <v>652.892561983471</v>
      </c>
      <c r="H243" s="16" t="n">
        <f aca="false">(I243/G243-1)*-1</f>
        <v>0.342924050632911</v>
      </c>
      <c r="I243" s="15" t="n">
        <v>429</v>
      </c>
    </row>
    <row r="244" customFormat="false" ht="15" hidden="false" customHeight="false" outlineLevel="0" collapsed="false">
      <c r="A244" s="1" t="s">
        <v>504</v>
      </c>
      <c r="B244" s="1" t="s">
        <v>1005</v>
      </c>
      <c r="C244" s="1" t="s">
        <v>1006</v>
      </c>
      <c r="D244" s="1" t="n">
        <v>1.2</v>
      </c>
      <c r="E244" s="1" t="s">
        <v>1007</v>
      </c>
      <c r="F244" s="15" t="n">
        <v>729</v>
      </c>
      <c r="G244" s="15" t="n">
        <f aca="false">F244/D244</f>
        <v>607.5</v>
      </c>
      <c r="H244" s="16" t="n">
        <f aca="false">(I244/G244-1)*-1</f>
        <v>0.178600823045267</v>
      </c>
      <c r="I244" s="15" t="n">
        <v>499</v>
      </c>
      <c r="J244" s="15" t="n">
        <v>489</v>
      </c>
    </row>
    <row r="245" customFormat="false" ht="15" hidden="false" customHeight="false" outlineLevel="0" collapsed="false">
      <c r="A245" s="1" t="s">
        <v>504</v>
      </c>
      <c r="B245" s="1" t="s">
        <v>1008</v>
      </c>
      <c r="C245" s="1" t="s">
        <v>1009</v>
      </c>
      <c r="D245" s="1" t="n">
        <v>1.2</v>
      </c>
      <c r="E245" s="1" t="s">
        <v>1007</v>
      </c>
      <c r="F245" s="15" t="n">
        <v>729</v>
      </c>
      <c r="G245" s="15" t="n">
        <f aca="false">F245/D245</f>
        <v>607.5</v>
      </c>
      <c r="H245" s="16" t="n">
        <f aca="false">(I245/G245-1)*-1</f>
        <v>0.178600823045267</v>
      </c>
      <c r="I245" s="15" t="n">
        <v>499</v>
      </c>
      <c r="J245" s="15" t="n">
        <v>489</v>
      </c>
    </row>
    <row r="246" customFormat="false" ht="15" hidden="false" customHeight="false" outlineLevel="0" collapsed="false">
      <c r="A246" s="1" t="s">
        <v>504</v>
      </c>
      <c r="B246" s="1" t="s">
        <v>1010</v>
      </c>
      <c r="C246" s="1" t="s">
        <v>1011</v>
      </c>
      <c r="D246" s="1" t="n">
        <v>1</v>
      </c>
      <c r="E246" s="1" t="s">
        <v>939</v>
      </c>
      <c r="F246" s="15" t="n">
        <v>890</v>
      </c>
      <c r="G246" s="15" t="n">
        <f aca="false">F246/D246</f>
        <v>890</v>
      </c>
      <c r="H246" s="16" t="n">
        <f aca="false">(I246/G246-1)*-1</f>
        <v>0.326966292134831</v>
      </c>
      <c r="I246" s="15" t="n">
        <v>599</v>
      </c>
    </row>
    <row r="247" customFormat="false" ht="15" hidden="false" customHeight="false" outlineLevel="0" collapsed="false">
      <c r="A247" s="1" t="s">
        <v>504</v>
      </c>
      <c r="B247" s="1" t="s">
        <v>1012</v>
      </c>
      <c r="C247" s="1" t="s">
        <v>1013</v>
      </c>
      <c r="D247" s="1" t="n">
        <v>1</v>
      </c>
      <c r="E247" s="1" t="s">
        <v>939</v>
      </c>
      <c r="F247" s="15" t="n">
        <v>890</v>
      </c>
      <c r="G247" s="15" t="n">
        <f aca="false">F247/D247</f>
        <v>890</v>
      </c>
      <c r="H247" s="16" t="n">
        <f aca="false">(I247/G247-1)*-1</f>
        <v>0.326966292134831</v>
      </c>
      <c r="I247" s="15" t="n">
        <v>599</v>
      </c>
    </row>
    <row r="248" customFormat="false" ht="15" hidden="false" customHeight="false" outlineLevel="0" collapsed="false">
      <c r="A248" s="1" t="s">
        <v>504</v>
      </c>
      <c r="B248" s="1" t="s">
        <v>1014</v>
      </c>
      <c r="C248" s="1" t="s">
        <v>1015</v>
      </c>
      <c r="D248" s="1" t="n">
        <v>1</v>
      </c>
      <c r="E248" s="1" t="s">
        <v>939</v>
      </c>
      <c r="F248" s="15" t="n">
        <v>890</v>
      </c>
      <c r="G248" s="15" t="n">
        <f aca="false">F248/D248</f>
        <v>890</v>
      </c>
      <c r="H248" s="16" t="n">
        <f aca="false">(I248/G248-1)*-1</f>
        <v>0.326966292134831</v>
      </c>
      <c r="I248" s="15" t="n">
        <v>599</v>
      </c>
    </row>
    <row r="249" customFormat="false" ht="15" hidden="false" customHeight="false" outlineLevel="0" collapsed="false">
      <c r="A249" s="1" t="s">
        <v>504</v>
      </c>
      <c r="B249" s="1" t="s">
        <v>1016</v>
      </c>
      <c r="C249" s="1" t="s">
        <v>1017</v>
      </c>
      <c r="D249" s="1" t="n">
        <v>1</v>
      </c>
      <c r="E249" s="1" t="s">
        <v>939</v>
      </c>
      <c r="F249" s="15" t="n">
        <v>942.3</v>
      </c>
      <c r="G249" s="15" t="n">
        <f aca="false">F249/D249</f>
        <v>942.3</v>
      </c>
      <c r="H249" s="16" t="n">
        <f aca="false">(I249/G249-1)*-1</f>
        <v>0.0300010612331529</v>
      </c>
      <c r="I249" s="15" t="n">
        <v>914.03</v>
      </c>
    </row>
    <row r="250" customFormat="false" ht="15" hidden="false" customHeight="false" outlineLevel="0" collapsed="false">
      <c r="A250" s="1" t="s">
        <v>504</v>
      </c>
      <c r="B250" s="1" t="s">
        <v>1018</v>
      </c>
      <c r="C250" s="1" t="s">
        <v>1019</v>
      </c>
      <c r="D250" s="1" t="n">
        <v>1</v>
      </c>
      <c r="E250" s="1" t="s">
        <v>939</v>
      </c>
      <c r="F250" s="15" t="n">
        <v>942.3</v>
      </c>
      <c r="G250" s="15" t="n">
        <f aca="false">F250/D250</f>
        <v>942.3</v>
      </c>
      <c r="H250" s="16" t="n">
        <f aca="false">(I250/G250-1)*-1</f>
        <v>0.0300010612331529</v>
      </c>
      <c r="I250" s="15" t="n">
        <v>914.03</v>
      </c>
    </row>
    <row r="251" customFormat="false" ht="15" hidden="false" customHeight="false" outlineLevel="0" collapsed="false">
      <c r="A251" s="1" t="s">
        <v>504</v>
      </c>
      <c r="B251" s="1" t="s">
        <v>1020</v>
      </c>
      <c r="C251" s="1" t="s">
        <v>1021</v>
      </c>
      <c r="D251" s="1" t="n">
        <v>1</v>
      </c>
      <c r="E251" s="1" t="s">
        <v>939</v>
      </c>
      <c r="F251" s="15" t="n">
        <v>942.3</v>
      </c>
      <c r="G251" s="15" t="n">
        <f aca="false">F251/D251</f>
        <v>942.3</v>
      </c>
      <c r="H251" s="16" t="n">
        <f aca="false">(I251/G251-1)*-1</f>
        <v>0.0300010612331529</v>
      </c>
      <c r="I251" s="15" t="n">
        <v>914.03</v>
      </c>
    </row>
    <row r="252" customFormat="false" ht="15" hidden="false" customHeight="false" outlineLevel="0" collapsed="false">
      <c r="A252" s="1" t="s">
        <v>504</v>
      </c>
      <c r="B252" s="1" t="s">
        <v>1022</v>
      </c>
      <c r="C252" s="1" t="s">
        <v>1023</v>
      </c>
      <c r="D252" s="1" t="n">
        <v>1</v>
      </c>
      <c r="E252" s="1" t="s">
        <v>939</v>
      </c>
      <c r="F252" s="15" t="n">
        <v>1590</v>
      </c>
      <c r="G252" s="15" t="n">
        <f aca="false">F252/D252</f>
        <v>1590</v>
      </c>
      <c r="H252" s="16" t="n">
        <f aca="false">(I252/G252-1)*-1</f>
        <v>0.25</v>
      </c>
      <c r="I252" s="15" t="n">
        <v>1192.5</v>
      </c>
    </row>
    <row r="253" customFormat="false" ht="15" hidden="false" customHeight="false" outlineLevel="0" collapsed="false">
      <c r="A253" s="1" t="s">
        <v>504</v>
      </c>
      <c r="B253" s="1" t="s">
        <v>1024</v>
      </c>
      <c r="C253" s="1" t="s">
        <v>1025</v>
      </c>
      <c r="D253" s="1" t="n">
        <v>1</v>
      </c>
      <c r="E253" s="1" t="s">
        <v>939</v>
      </c>
      <c r="F253" s="15" t="n">
        <v>1590</v>
      </c>
      <c r="G253" s="15" t="n">
        <f aca="false">F253/D253</f>
        <v>1590</v>
      </c>
      <c r="H253" s="16" t="n">
        <f aca="false">(I253/G253-1)*-1</f>
        <v>0.25</v>
      </c>
      <c r="I253" s="15" t="n">
        <v>1192.5</v>
      </c>
    </row>
    <row r="254" customFormat="false" ht="15" hidden="false" customHeight="false" outlineLevel="0" collapsed="false">
      <c r="A254" s="1" t="s">
        <v>504</v>
      </c>
      <c r="B254" s="1" t="s">
        <v>1026</v>
      </c>
      <c r="C254" s="1" t="s">
        <v>1027</v>
      </c>
      <c r="D254" s="1" t="n">
        <v>1</v>
      </c>
      <c r="E254" s="1" t="s">
        <v>939</v>
      </c>
      <c r="F254" s="15" t="n">
        <v>1590</v>
      </c>
      <c r="G254" s="15" t="n">
        <f aca="false">F254/D254</f>
        <v>1590</v>
      </c>
      <c r="H254" s="16" t="n">
        <f aca="false">(I254/G254-1)*-1</f>
        <v>0.25</v>
      </c>
      <c r="I254" s="15" t="n">
        <v>1192.5</v>
      </c>
    </row>
    <row r="255" customFormat="false" ht="15" hidden="false" customHeight="false" outlineLevel="0" collapsed="false">
      <c r="A255" s="1" t="s">
        <v>504</v>
      </c>
      <c r="B255" s="1" t="s">
        <v>1028</v>
      </c>
      <c r="C255" s="1" t="s">
        <v>1029</v>
      </c>
      <c r="D255" s="1" t="n">
        <v>1</v>
      </c>
      <c r="E255" s="1" t="s">
        <v>939</v>
      </c>
      <c r="F255" s="15" t="n">
        <v>1590</v>
      </c>
      <c r="G255" s="15" t="n">
        <f aca="false">F255/D255</f>
        <v>1590</v>
      </c>
      <c r="H255" s="16" t="n">
        <f aca="false">(I255/G255-1)*-1</f>
        <v>0.25</v>
      </c>
      <c r="I255" s="15" t="n">
        <v>1192.5</v>
      </c>
    </row>
    <row r="256" customFormat="false" ht="15" hidden="false" customHeight="false" outlineLevel="0" collapsed="false">
      <c r="A256" s="1" t="s">
        <v>504</v>
      </c>
      <c r="B256" s="1" t="s">
        <v>1030</v>
      </c>
      <c r="C256" s="1" t="s">
        <v>1031</v>
      </c>
      <c r="D256" s="1" t="n">
        <v>1</v>
      </c>
      <c r="E256" s="1" t="s">
        <v>939</v>
      </c>
      <c r="F256" s="15" t="n">
        <v>1590</v>
      </c>
      <c r="G256" s="15" t="n">
        <f aca="false">F256/D256</f>
        <v>1590</v>
      </c>
      <c r="H256" s="16" t="n">
        <f aca="false">(I256/G256-1)*-1</f>
        <v>0.25</v>
      </c>
      <c r="I256" s="15" t="n">
        <v>1192.5</v>
      </c>
    </row>
    <row r="257" customFormat="false" ht="15" hidden="false" customHeight="true" outlineLevel="0" collapsed="false">
      <c r="A257" s="1" t="s">
        <v>504</v>
      </c>
      <c r="B257" s="21" t="s">
        <v>1032</v>
      </c>
      <c r="C257" s="11" t="s">
        <v>1033</v>
      </c>
      <c r="D257" s="1" t="n">
        <v>1</v>
      </c>
      <c r="E257" s="1" t="s">
        <v>939</v>
      </c>
      <c r="F257" s="22" t="n">
        <v>829</v>
      </c>
      <c r="G257" s="15" t="n">
        <f aca="false">F257/D257</f>
        <v>829</v>
      </c>
      <c r="H257" s="16" t="n">
        <f aca="false">(I257/G257-1)*-1</f>
        <v>0.772014475271411</v>
      </c>
      <c r="I257" s="15" t="n">
        <v>189</v>
      </c>
      <c r="K257" s="15" t="s">
        <v>524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M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" zeroHeight="false" outlineLevelRow="0" outlineLevelCol="0"/>
  <cols>
    <col collapsed="false" customWidth="true" hidden="false" outlineLevel="0" max="1" min="1" style="1" width="13.77"/>
    <col collapsed="false" customWidth="true" hidden="false" outlineLevel="0" max="2" min="2" style="1" width="22.12"/>
    <col collapsed="false" customWidth="true" hidden="false" outlineLevel="0" max="3" min="3" style="1" width="18.81"/>
    <col collapsed="false" customWidth="true" hidden="false" outlineLevel="0" max="4" min="4" style="1" width="38.95"/>
    <col collapsed="false" customWidth="true" hidden="false" outlineLevel="0" max="5" min="5" style="1" width="11.39"/>
    <col collapsed="false" customWidth="true" hidden="false" outlineLevel="0" max="6" min="6" style="1" width="48.49"/>
    <col collapsed="false" customWidth="true" hidden="false" outlineLevel="0" max="7" min="7" style="1" width="7.94"/>
    <col collapsed="false" customWidth="true" hidden="false" outlineLevel="0" max="8" min="8" style="1" width="12.71"/>
    <col collapsed="false" customWidth="true" hidden="false" outlineLevel="0" max="9" min="9" style="1" width="9.93"/>
    <col collapsed="false" customWidth="true" hidden="false" outlineLevel="0" max="10" min="10" style="15" width="17.88"/>
    <col collapsed="false" customWidth="true" hidden="false" outlineLevel="0" max="11" min="11" style="3" width="14.97"/>
    <col collapsed="false" customWidth="true" hidden="false" outlineLevel="0" max="12" min="12" style="1" width="16.16"/>
    <col collapsed="false" customWidth="true" hidden="false" outlineLevel="0" max="13" min="13" style="1" width="22.25"/>
    <col collapsed="false" customWidth="true" hidden="false" outlineLevel="0" max="2048" min="14" style="1" width="8.87"/>
  </cols>
  <sheetData>
    <row r="1" s="8" customFormat="true" ht="31.3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23" t="s">
        <v>4</v>
      </c>
      <c r="F1" s="23" t="s">
        <v>1034</v>
      </c>
      <c r="G1" s="4" t="s">
        <v>6</v>
      </c>
      <c r="H1" s="4" t="s">
        <v>1035</v>
      </c>
      <c r="I1" s="4" t="s">
        <v>11</v>
      </c>
      <c r="J1" s="17" t="s">
        <v>1036</v>
      </c>
      <c r="K1" s="6" t="s">
        <v>1037</v>
      </c>
      <c r="L1" s="24" t="s">
        <v>1038</v>
      </c>
      <c r="M1" s="4" t="s">
        <v>503</v>
      </c>
    </row>
    <row r="2" customFormat="false" ht="15" hidden="false" customHeight="true" outlineLevel="0" collapsed="false">
      <c r="A2" s="1" t="s">
        <v>1039</v>
      </c>
      <c r="B2" s="1" t="s">
        <v>20</v>
      </c>
      <c r="C2" s="1" t="s">
        <v>1040</v>
      </c>
      <c r="D2" s="1" t="s">
        <v>1041</v>
      </c>
      <c r="E2" s="25" t="s">
        <v>1042</v>
      </c>
      <c r="F2" s="25" t="s">
        <v>1043</v>
      </c>
      <c r="G2" s="1" t="s">
        <v>1044</v>
      </c>
      <c r="H2" s="1" t="s">
        <v>1045</v>
      </c>
      <c r="I2" s="1" t="s">
        <v>32</v>
      </c>
      <c r="J2" s="15" t="n">
        <v>299</v>
      </c>
      <c r="K2" s="3" t="n">
        <f aca="false">(L2/J2-1)*-1</f>
        <v>0.431438127090301</v>
      </c>
      <c r="L2" s="15" t="n">
        <v>170</v>
      </c>
    </row>
    <row r="3" customFormat="false" ht="15" hidden="false" customHeight="true" outlineLevel="0" collapsed="false">
      <c r="A3" s="1" t="s">
        <v>1039</v>
      </c>
      <c r="B3" s="1" t="s">
        <v>20</v>
      </c>
      <c r="C3" s="1" t="s">
        <v>1040</v>
      </c>
      <c r="D3" s="1" t="s">
        <v>1041</v>
      </c>
      <c r="E3" s="25" t="s">
        <v>1046</v>
      </c>
      <c r="F3" s="25" t="s">
        <v>1047</v>
      </c>
      <c r="G3" s="1" t="s">
        <v>1044</v>
      </c>
      <c r="H3" s="1" t="s">
        <v>1045</v>
      </c>
      <c r="I3" s="1" t="s">
        <v>56</v>
      </c>
      <c r="J3" s="15" t="n">
        <v>259</v>
      </c>
      <c r="K3" s="3" t="n">
        <f aca="false">(L3/J3-1)*-1</f>
        <v>0.305019305019305</v>
      </c>
      <c r="L3" s="15" t="n">
        <v>180</v>
      </c>
    </row>
    <row r="4" customFormat="false" ht="15" hidden="false" customHeight="true" outlineLevel="0" collapsed="false">
      <c r="A4" s="1" t="s">
        <v>1039</v>
      </c>
      <c r="B4" s="1" t="s">
        <v>20</v>
      </c>
      <c r="C4" s="1" t="s">
        <v>1040</v>
      </c>
      <c r="D4" s="1" t="s">
        <v>1041</v>
      </c>
      <c r="E4" s="25" t="s">
        <v>1048</v>
      </c>
      <c r="F4" s="25" t="s">
        <v>1049</v>
      </c>
      <c r="G4" s="1" t="s">
        <v>1044</v>
      </c>
      <c r="H4" s="1" t="s">
        <v>1045</v>
      </c>
      <c r="I4" s="1" t="s">
        <v>56</v>
      </c>
      <c r="J4" s="15" t="n">
        <v>309</v>
      </c>
      <c r="K4" s="3" t="n">
        <f aca="false">(L4/J4-1)*-1</f>
        <v>0.258899676375405</v>
      </c>
      <c r="L4" s="15" t="n">
        <v>229</v>
      </c>
      <c r="M4" s="1" t="s">
        <v>1050</v>
      </c>
    </row>
    <row r="5" customFormat="false" ht="15" hidden="false" customHeight="true" outlineLevel="0" collapsed="false">
      <c r="A5" s="1" t="s">
        <v>1039</v>
      </c>
      <c r="B5" s="1" t="s">
        <v>20</v>
      </c>
      <c r="C5" s="1" t="s">
        <v>1040</v>
      </c>
      <c r="D5" s="1" t="s">
        <v>1041</v>
      </c>
      <c r="E5" s="25" t="s">
        <v>1051</v>
      </c>
      <c r="F5" s="25" t="s">
        <v>1052</v>
      </c>
      <c r="G5" s="1" t="s">
        <v>1044</v>
      </c>
      <c r="H5" s="1" t="s">
        <v>1045</v>
      </c>
      <c r="I5" s="1" t="s">
        <v>56</v>
      </c>
      <c r="J5" s="15" t="n">
        <v>239</v>
      </c>
      <c r="K5" s="3" t="n">
        <f aca="false">(L5/J5-1)*-1</f>
        <v>0.292887029288703</v>
      </c>
      <c r="L5" s="15" t="n">
        <v>169</v>
      </c>
    </row>
    <row r="6" customFormat="false" ht="15" hidden="false" customHeight="true" outlineLevel="0" collapsed="false">
      <c r="A6" s="1" t="s">
        <v>1039</v>
      </c>
      <c r="B6" s="1" t="s">
        <v>20</v>
      </c>
      <c r="C6" s="1" t="s">
        <v>1040</v>
      </c>
      <c r="D6" s="1" t="s">
        <v>1041</v>
      </c>
      <c r="E6" s="25" t="s">
        <v>1053</v>
      </c>
      <c r="F6" s="25" t="s">
        <v>1054</v>
      </c>
      <c r="G6" s="1" t="s">
        <v>1044</v>
      </c>
      <c r="H6" s="1" t="s">
        <v>1045</v>
      </c>
      <c r="I6" s="1" t="s">
        <v>56</v>
      </c>
      <c r="J6" s="15" t="n">
        <v>219</v>
      </c>
      <c r="K6" s="3" t="n">
        <f aca="false">(L6/J6-1)*-1</f>
        <v>0.228310502283105</v>
      </c>
      <c r="L6" s="15" t="n">
        <v>169</v>
      </c>
      <c r="M6" s="1" t="s">
        <v>1055</v>
      </c>
    </row>
    <row r="7" customFormat="false" ht="15" hidden="false" customHeight="true" outlineLevel="0" collapsed="false">
      <c r="A7" s="1" t="s">
        <v>1039</v>
      </c>
      <c r="B7" s="1" t="s">
        <v>20</v>
      </c>
      <c r="C7" s="1" t="s">
        <v>1040</v>
      </c>
      <c r="D7" s="1" t="s">
        <v>1041</v>
      </c>
      <c r="E7" s="25" t="s">
        <v>1056</v>
      </c>
      <c r="F7" s="25" t="s">
        <v>1057</v>
      </c>
      <c r="G7" s="1" t="s">
        <v>1044</v>
      </c>
      <c r="H7" s="1" t="s">
        <v>1045</v>
      </c>
      <c r="I7" s="1" t="s">
        <v>32</v>
      </c>
      <c r="J7" s="15" t="n">
        <v>299</v>
      </c>
      <c r="K7" s="3" t="n">
        <f aca="false">(L7/J7-1)*-1</f>
        <v>0.267558528428094</v>
      </c>
      <c r="L7" s="15" t="n">
        <v>219</v>
      </c>
    </row>
    <row r="8" customFormat="false" ht="15" hidden="false" customHeight="true" outlineLevel="0" collapsed="false">
      <c r="A8" s="1" t="s">
        <v>1039</v>
      </c>
      <c r="B8" s="1" t="s">
        <v>1058</v>
      </c>
      <c r="C8" s="1" t="s">
        <v>1040</v>
      </c>
      <c r="D8" s="1" t="s">
        <v>1059</v>
      </c>
      <c r="E8" s="25" t="s">
        <v>1060</v>
      </c>
      <c r="F8" s="25" t="s">
        <v>1061</v>
      </c>
      <c r="G8" s="1" t="s">
        <v>1044</v>
      </c>
      <c r="H8" s="1" t="s">
        <v>1062</v>
      </c>
      <c r="J8" s="15" t="n">
        <v>229</v>
      </c>
      <c r="K8" s="3" t="n">
        <f aca="false">(L8/J8-1)*-1</f>
        <v>0.262008733624454</v>
      </c>
      <c r="L8" s="15" t="n">
        <v>169</v>
      </c>
    </row>
    <row r="9" customFormat="false" ht="15" hidden="false" customHeight="true" outlineLevel="0" collapsed="false">
      <c r="A9" s="1" t="s">
        <v>1063</v>
      </c>
      <c r="B9" s="1" t="s">
        <v>20</v>
      </c>
      <c r="C9" s="1" t="s">
        <v>1040</v>
      </c>
      <c r="D9" s="1" t="s">
        <v>1041</v>
      </c>
      <c r="E9" s="25" t="s">
        <v>1064</v>
      </c>
      <c r="F9" s="25" t="s">
        <v>1065</v>
      </c>
      <c r="G9" s="1" t="s">
        <v>1044</v>
      </c>
      <c r="H9" s="1" t="s">
        <v>1045</v>
      </c>
      <c r="I9" s="1" t="s">
        <v>74</v>
      </c>
      <c r="J9" s="15" t="n">
        <v>579</v>
      </c>
      <c r="K9" s="3" t="n">
        <f aca="false">(L9/J9-1)*-1</f>
        <v>0.13126079447323</v>
      </c>
      <c r="L9" s="15" t="n">
        <v>503</v>
      </c>
    </row>
    <row r="10" customFormat="false" ht="15" hidden="false" customHeight="true" outlineLevel="0" collapsed="false">
      <c r="A10" s="1" t="s">
        <v>1063</v>
      </c>
      <c r="B10" s="1" t="s">
        <v>20</v>
      </c>
      <c r="C10" s="1" t="s">
        <v>1040</v>
      </c>
      <c r="D10" s="1" t="s">
        <v>1041</v>
      </c>
      <c r="E10" s="25" t="s">
        <v>1066</v>
      </c>
      <c r="F10" s="25" t="s">
        <v>1067</v>
      </c>
      <c r="G10" s="1" t="s">
        <v>1044</v>
      </c>
      <c r="H10" s="1" t="s">
        <v>1045</v>
      </c>
      <c r="I10" s="1" t="s">
        <v>56</v>
      </c>
      <c r="J10" s="15" t="n">
        <v>579</v>
      </c>
      <c r="K10" s="3" t="n">
        <f aca="false">(L10/J10-1)*-1</f>
        <v>0.13126079447323</v>
      </c>
      <c r="L10" s="15" t="n">
        <v>503</v>
      </c>
    </row>
    <row r="11" customFormat="false" ht="15" hidden="false" customHeight="true" outlineLevel="0" collapsed="false">
      <c r="A11" s="1" t="s">
        <v>1063</v>
      </c>
      <c r="B11" s="1" t="s">
        <v>20</v>
      </c>
      <c r="C11" s="1" t="s">
        <v>1040</v>
      </c>
      <c r="D11" s="1" t="s">
        <v>1041</v>
      </c>
      <c r="E11" s="25" t="s">
        <v>1068</v>
      </c>
      <c r="F11" s="25" t="s">
        <v>1069</v>
      </c>
      <c r="G11" s="1" t="s">
        <v>1044</v>
      </c>
      <c r="H11" s="1" t="s">
        <v>1045</v>
      </c>
      <c r="I11" s="1" t="s">
        <v>56</v>
      </c>
      <c r="J11" s="15" t="n">
        <v>209</v>
      </c>
      <c r="K11" s="3" t="n">
        <f aca="false">(L11/J11-1)*-1</f>
        <v>0.162679425837321</v>
      </c>
      <c r="L11" s="15" t="n">
        <v>175</v>
      </c>
    </row>
    <row r="12" customFormat="false" ht="15" hidden="false" customHeight="true" outlineLevel="0" collapsed="false">
      <c r="A12" s="1" t="s">
        <v>1063</v>
      </c>
      <c r="B12" s="1" t="s">
        <v>20</v>
      </c>
      <c r="C12" s="1" t="s">
        <v>1040</v>
      </c>
      <c r="D12" s="1" t="s">
        <v>1041</v>
      </c>
      <c r="E12" s="25" t="s">
        <v>1070</v>
      </c>
      <c r="F12" s="25" t="s">
        <v>1071</v>
      </c>
      <c r="G12" s="1" t="s">
        <v>1044</v>
      </c>
      <c r="H12" s="1" t="s">
        <v>1045</v>
      </c>
      <c r="I12" s="1" t="s">
        <v>56</v>
      </c>
      <c r="J12" s="15" t="n">
        <v>229</v>
      </c>
      <c r="K12" s="3" t="n">
        <f aca="false">(L12/J12-1)*-1</f>
        <v>0.161572052401747</v>
      </c>
      <c r="L12" s="15" t="n">
        <v>192</v>
      </c>
    </row>
    <row r="13" customFormat="false" ht="15" hidden="false" customHeight="true" outlineLevel="0" collapsed="false">
      <c r="A13" s="1" t="s">
        <v>1063</v>
      </c>
      <c r="B13" s="1" t="s">
        <v>20</v>
      </c>
      <c r="C13" s="1" t="s">
        <v>1040</v>
      </c>
      <c r="D13" s="1" t="s">
        <v>1041</v>
      </c>
      <c r="E13" s="25" t="s">
        <v>1072</v>
      </c>
      <c r="F13" s="25" t="s">
        <v>1073</v>
      </c>
      <c r="G13" s="1" t="s">
        <v>1044</v>
      </c>
      <c r="H13" s="1" t="s">
        <v>1045</v>
      </c>
      <c r="I13" s="1" t="s">
        <v>56</v>
      </c>
      <c r="J13" s="15" t="n">
        <v>339</v>
      </c>
      <c r="K13" s="3" t="n">
        <f aca="false">(L13/J13-1)*-1</f>
        <v>0.15929203539823</v>
      </c>
      <c r="L13" s="15" t="n">
        <v>285</v>
      </c>
    </row>
    <row r="14" customFormat="false" ht="15" hidden="false" customHeight="true" outlineLevel="0" collapsed="false">
      <c r="A14" s="1" t="s">
        <v>1063</v>
      </c>
      <c r="B14" s="1" t="s">
        <v>20</v>
      </c>
      <c r="C14" s="1" t="s">
        <v>1040</v>
      </c>
      <c r="D14" s="1" t="s">
        <v>1041</v>
      </c>
      <c r="E14" s="25" t="s">
        <v>1074</v>
      </c>
      <c r="F14" s="25" t="s">
        <v>1075</v>
      </c>
      <c r="G14" s="1" t="s">
        <v>1044</v>
      </c>
      <c r="H14" s="1" t="s">
        <v>1076</v>
      </c>
      <c r="I14" s="1" t="s">
        <v>56</v>
      </c>
      <c r="J14" s="15" t="n">
        <v>359</v>
      </c>
      <c r="K14" s="3" t="n">
        <f aca="false">(L14/J14-1)*-1</f>
        <v>0.139275766016713</v>
      </c>
      <c r="L14" s="15" t="n">
        <v>309</v>
      </c>
    </row>
    <row r="15" customFormat="false" ht="15" hidden="false" customHeight="true" outlineLevel="0" collapsed="false">
      <c r="A15" s="1" t="s">
        <v>1063</v>
      </c>
      <c r="B15" s="1" t="s">
        <v>20</v>
      </c>
      <c r="C15" s="1" t="s">
        <v>1040</v>
      </c>
      <c r="D15" s="1" t="s">
        <v>1041</v>
      </c>
      <c r="E15" s="25" t="s">
        <v>1077</v>
      </c>
      <c r="F15" s="25" t="s">
        <v>1078</v>
      </c>
      <c r="G15" s="1" t="s">
        <v>1044</v>
      </c>
      <c r="H15" s="1" t="s">
        <v>1045</v>
      </c>
      <c r="I15" s="1" t="s">
        <v>56</v>
      </c>
      <c r="J15" s="15" t="n">
        <v>709</v>
      </c>
      <c r="K15" s="3" t="n">
        <f aca="false">(L15/J15-1)*-1</f>
        <v>0.128349788434415</v>
      </c>
      <c r="L15" s="15" t="n">
        <v>618</v>
      </c>
    </row>
    <row r="16" customFormat="false" ht="15" hidden="false" customHeight="true" outlineLevel="0" collapsed="false">
      <c r="A16" s="1" t="s">
        <v>1063</v>
      </c>
      <c r="B16" s="1" t="s">
        <v>20</v>
      </c>
      <c r="C16" s="1" t="s">
        <v>1040</v>
      </c>
      <c r="D16" s="1" t="s">
        <v>1041</v>
      </c>
      <c r="E16" s="25" t="s">
        <v>1079</v>
      </c>
      <c r="F16" s="25" t="s">
        <v>1080</v>
      </c>
      <c r="G16" s="1" t="s">
        <v>1044</v>
      </c>
      <c r="H16" s="1" t="s">
        <v>1045</v>
      </c>
      <c r="I16" s="1" t="s">
        <v>56</v>
      </c>
      <c r="J16" s="15" t="n">
        <v>169</v>
      </c>
      <c r="K16" s="3" t="n">
        <f aca="false">(L16/J16-1)*-1</f>
        <v>0.177514792899408</v>
      </c>
      <c r="L16" s="15" t="n">
        <v>139</v>
      </c>
    </row>
    <row r="17" customFormat="false" ht="15" hidden="false" customHeight="true" outlineLevel="0" collapsed="false">
      <c r="A17" s="1" t="s">
        <v>1063</v>
      </c>
      <c r="B17" s="1" t="s">
        <v>20</v>
      </c>
      <c r="C17" s="1" t="s">
        <v>1040</v>
      </c>
      <c r="D17" s="1" t="s">
        <v>1081</v>
      </c>
      <c r="E17" s="25" t="s">
        <v>1082</v>
      </c>
      <c r="F17" s="25" t="s">
        <v>1083</v>
      </c>
      <c r="G17" s="1" t="s">
        <v>1084</v>
      </c>
      <c r="H17" s="1" t="s">
        <v>1085</v>
      </c>
      <c r="J17" s="15" t="n">
        <v>1039</v>
      </c>
      <c r="K17" s="3" t="n">
        <f aca="false">(L17/J17-1)*-1</f>
        <v>0.115495668912416</v>
      </c>
      <c r="L17" s="15" t="n">
        <v>919</v>
      </c>
    </row>
    <row r="18" customFormat="false" ht="15" hidden="false" customHeight="true" outlineLevel="0" collapsed="false">
      <c r="A18" s="1" t="s">
        <v>1063</v>
      </c>
      <c r="B18" s="1" t="s">
        <v>20</v>
      </c>
      <c r="C18" s="1" t="s">
        <v>1040</v>
      </c>
      <c r="D18" s="1" t="s">
        <v>1086</v>
      </c>
      <c r="E18" s="25" t="s">
        <v>1087</v>
      </c>
      <c r="F18" s="25" t="s">
        <v>1088</v>
      </c>
      <c r="G18" s="1" t="s">
        <v>1044</v>
      </c>
      <c r="H18" s="1" t="s">
        <v>1076</v>
      </c>
      <c r="J18" s="15" t="n">
        <v>249</v>
      </c>
      <c r="K18" s="3" t="n">
        <f aca="false">(L18/J18-1)*-1</f>
        <v>0.168674698795181</v>
      </c>
      <c r="L18" s="15" t="n">
        <v>207</v>
      </c>
    </row>
    <row r="19" customFormat="false" ht="15" hidden="false" customHeight="true" outlineLevel="0" collapsed="false">
      <c r="A19" s="1" t="s">
        <v>1063</v>
      </c>
      <c r="B19" s="1" t="s">
        <v>20</v>
      </c>
      <c r="C19" s="1" t="s">
        <v>1040</v>
      </c>
      <c r="D19" s="1" t="s">
        <v>1086</v>
      </c>
      <c r="E19" s="25" t="s">
        <v>1089</v>
      </c>
      <c r="F19" s="25" t="s">
        <v>1090</v>
      </c>
      <c r="G19" s="1" t="s">
        <v>1044</v>
      </c>
      <c r="H19" s="1" t="s">
        <v>1091</v>
      </c>
      <c r="J19" s="15" t="n">
        <v>299</v>
      </c>
      <c r="K19" s="3" t="n">
        <f aca="false">(L19/J19-1)*-1</f>
        <v>0.153846153846154</v>
      </c>
      <c r="L19" s="15" t="n">
        <v>253</v>
      </c>
    </row>
    <row r="20" customFormat="false" ht="15" hidden="false" customHeight="true" outlineLevel="0" collapsed="false">
      <c r="A20" s="1" t="s">
        <v>1039</v>
      </c>
      <c r="B20" s="1" t="s">
        <v>20</v>
      </c>
      <c r="C20" s="1" t="s">
        <v>1040</v>
      </c>
      <c r="D20" s="1" t="s">
        <v>1086</v>
      </c>
      <c r="E20" s="25" t="s">
        <v>1092</v>
      </c>
      <c r="F20" s="25" t="s">
        <v>1093</v>
      </c>
      <c r="G20" s="1" t="s">
        <v>1044</v>
      </c>
      <c r="H20" s="1" t="s">
        <v>1094</v>
      </c>
      <c r="J20" s="15" t="n">
        <v>169</v>
      </c>
      <c r="K20" s="3" t="n">
        <f aca="false">(L20/J20-1)*-1</f>
        <v>0.236686390532544</v>
      </c>
      <c r="L20" s="15" t="n">
        <v>129</v>
      </c>
    </row>
    <row r="21" customFormat="false" ht="15" hidden="false" customHeight="true" outlineLevel="0" collapsed="false">
      <c r="A21" s="1" t="s">
        <v>1039</v>
      </c>
      <c r="B21" s="1" t="s">
        <v>20</v>
      </c>
      <c r="C21" s="1" t="s">
        <v>1040</v>
      </c>
      <c r="D21" s="1" t="s">
        <v>1086</v>
      </c>
      <c r="E21" s="25" t="s">
        <v>1092</v>
      </c>
      <c r="F21" s="25" t="s">
        <v>1095</v>
      </c>
      <c r="G21" s="1" t="s">
        <v>1044</v>
      </c>
      <c r="H21" s="1" t="s">
        <v>1076</v>
      </c>
      <c r="J21" s="15" t="n">
        <v>233.1</v>
      </c>
      <c r="K21" s="3" t="n">
        <f aca="false">(L21/J21-1)*-1</f>
        <v>0.253539253539254</v>
      </c>
      <c r="L21" s="15" t="n">
        <v>174</v>
      </c>
    </row>
    <row r="22" customFormat="false" ht="15" hidden="false" customHeight="true" outlineLevel="0" collapsed="false">
      <c r="A22" s="1" t="s">
        <v>1039</v>
      </c>
      <c r="B22" s="1" t="s">
        <v>20</v>
      </c>
      <c r="C22" s="1" t="s">
        <v>1040</v>
      </c>
      <c r="D22" s="1" t="s">
        <v>1086</v>
      </c>
      <c r="E22" s="25" t="s">
        <v>1092</v>
      </c>
      <c r="F22" s="25" t="s">
        <v>1096</v>
      </c>
      <c r="G22" s="1" t="s">
        <v>1044</v>
      </c>
      <c r="H22" s="1" t="s">
        <v>1091</v>
      </c>
      <c r="J22" s="15" t="n">
        <v>251.1</v>
      </c>
      <c r="K22" s="3" t="n">
        <f aca="false">(L22/J22-1)*-1</f>
        <v>0.243329350856233</v>
      </c>
      <c r="L22" s="15" t="n">
        <v>190</v>
      </c>
    </row>
    <row r="23" customFormat="false" ht="15" hidden="false" customHeight="true" outlineLevel="0" collapsed="false">
      <c r="A23" s="1" t="s">
        <v>1039</v>
      </c>
      <c r="B23" s="1" t="s">
        <v>1058</v>
      </c>
      <c r="C23" s="1" t="s">
        <v>1040</v>
      </c>
      <c r="D23" s="1" t="s">
        <v>1059</v>
      </c>
      <c r="E23" s="25" t="s">
        <v>1097</v>
      </c>
      <c r="F23" s="25" t="s">
        <v>1098</v>
      </c>
      <c r="G23" s="1" t="s">
        <v>1044</v>
      </c>
      <c r="H23" s="1" t="s">
        <v>1062</v>
      </c>
      <c r="J23" s="15" t="n">
        <v>239</v>
      </c>
      <c r="K23" s="3" t="n">
        <f aca="false">(L23/J23-1)*-1</f>
        <v>0.539748953974895</v>
      </c>
      <c r="L23" s="15" t="n">
        <v>110</v>
      </c>
      <c r="M23" s="1" t="s">
        <v>1099</v>
      </c>
    </row>
    <row r="24" customFormat="false" ht="15" hidden="false" customHeight="true" outlineLevel="0" collapsed="false">
      <c r="A24" s="1" t="s">
        <v>1039</v>
      </c>
      <c r="B24" s="1" t="s">
        <v>1058</v>
      </c>
      <c r="C24" s="1" t="s">
        <v>1040</v>
      </c>
      <c r="D24" s="1" t="s">
        <v>1059</v>
      </c>
      <c r="E24" s="25" t="s">
        <v>1100</v>
      </c>
      <c r="F24" s="25" t="s">
        <v>1101</v>
      </c>
      <c r="G24" s="1" t="s">
        <v>1044</v>
      </c>
      <c r="H24" s="1" t="s">
        <v>1102</v>
      </c>
      <c r="J24" s="15" t="n">
        <v>339</v>
      </c>
      <c r="K24" s="3" t="n">
        <f aca="false">(L24/J24-1)*-1</f>
        <v>0.235988200589971</v>
      </c>
      <c r="L24" s="15" t="n">
        <v>259</v>
      </c>
    </row>
    <row r="25" customFormat="false" ht="15" hidden="false" customHeight="true" outlineLevel="0" collapsed="false">
      <c r="A25" s="1" t="s">
        <v>1039</v>
      </c>
      <c r="B25" s="1" t="s">
        <v>1058</v>
      </c>
      <c r="C25" s="1" t="s">
        <v>1040</v>
      </c>
      <c r="D25" s="1" t="s">
        <v>1059</v>
      </c>
      <c r="E25" s="25" t="s">
        <v>1103</v>
      </c>
      <c r="F25" s="25" t="s">
        <v>1104</v>
      </c>
      <c r="G25" s="1" t="s">
        <v>1044</v>
      </c>
      <c r="H25" s="1" t="s">
        <v>1102</v>
      </c>
      <c r="J25" s="15" t="n">
        <v>369</v>
      </c>
      <c r="K25" s="3" t="n">
        <f aca="false">(L25/J25-1)*-1</f>
        <v>0.2710027100271</v>
      </c>
      <c r="L25" s="15" t="n">
        <v>269</v>
      </c>
    </row>
    <row r="26" customFormat="false" ht="15" hidden="false" customHeight="true" outlineLevel="0" collapsed="false">
      <c r="A26" s="1" t="s">
        <v>1039</v>
      </c>
      <c r="B26" s="1" t="s">
        <v>1058</v>
      </c>
      <c r="C26" s="1" t="s">
        <v>1040</v>
      </c>
      <c r="D26" s="1" t="s">
        <v>1059</v>
      </c>
      <c r="E26" s="25" t="s">
        <v>1105</v>
      </c>
      <c r="F26" s="25" t="s">
        <v>1106</v>
      </c>
      <c r="G26" s="1" t="s">
        <v>1044</v>
      </c>
      <c r="H26" s="1" t="s">
        <v>1062</v>
      </c>
      <c r="J26" s="15" t="n">
        <v>279</v>
      </c>
      <c r="K26" s="3" t="n">
        <f aca="false">(L26/J26-1)*-1</f>
        <v>0.25089605734767</v>
      </c>
      <c r="L26" s="15" t="n">
        <v>209</v>
      </c>
    </row>
    <row r="27" customFormat="false" ht="15" hidden="false" customHeight="true" outlineLevel="0" collapsed="false">
      <c r="A27" s="1" t="s">
        <v>1039</v>
      </c>
      <c r="B27" s="1" t="s">
        <v>20</v>
      </c>
      <c r="C27" s="1" t="s">
        <v>1040</v>
      </c>
      <c r="D27" s="1" t="s">
        <v>1059</v>
      </c>
      <c r="E27" s="25" t="s">
        <v>1107</v>
      </c>
      <c r="F27" s="25" t="s">
        <v>1108</v>
      </c>
      <c r="G27" s="1" t="s">
        <v>1044</v>
      </c>
      <c r="H27" s="1" t="s">
        <v>1102</v>
      </c>
      <c r="J27" s="15" t="n">
        <v>439</v>
      </c>
      <c r="K27" s="3" t="n">
        <f aca="false">(L27/J27-1)*-1</f>
        <v>0.318906605922551</v>
      </c>
      <c r="L27" s="15" t="n">
        <v>299</v>
      </c>
    </row>
    <row r="28" customFormat="false" ht="15" hidden="false" customHeight="true" outlineLevel="0" collapsed="false">
      <c r="A28" s="1" t="s">
        <v>1039</v>
      </c>
      <c r="B28" s="1" t="s">
        <v>1058</v>
      </c>
      <c r="C28" s="1" t="s">
        <v>1040</v>
      </c>
      <c r="D28" s="1" t="s">
        <v>1041</v>
      </c>
      <c r="E28" s="25" t="s">
        <v>1109</v>
      </c>
      <c r="F28" s="25" t="s">
        <v>1110</v>
      </c>
      <c r="G28" s="1" t="s">
        <v>1044</v>
      </c>
      <c r="H28" s="1" t="s">
        <v>1045</v>
      </c>
      <c r="I28" s="1" t="s">
        <v>56</v>
      </c>
      <c r="J28" s="15" t="n">
        <v>679</v>
      </c>
      <c r="K28" s="3" t="n">
        <f aca="false">(L28/J28-1)*-1</f>
        <v>0.250368188512518</v>
      </c>
      <c r="L28" s="15" t="n">
        <v>509</v>
      </c>
    </row>
    <row r="29" customFormat="false" ht="15" hidden="false" customHeight="true" outlineLevel="0" collapsed="false">
      <c r="A29" s="1" t="s">
        <v>1039</v>
      </c>
      <c r="B29" s="1" t="s">
        <v>1058</v>
      </c>
      <c r="C29" s="1" t="s">
        <v>1040</v>
      </c>
      <c r="D29" s="1" t="s">
        <v>1059</v>
      </c>
      <c r="E29" s="25" t="s">
        <v>1111</v>
      </c>
      <c r="F29" s="25" t="s">
        <v>1112</v>
      </c>
      <c r="G29" s="1" t="s">
        <v>1044</v>
      </c>
      <c r="H29" s="1" t="s">
        <v>1062</v>
      </c>
      <c r="J29" s="15" t="n">
        <v>289</v>
      </c>
      <c r="K29" s="3" t="n">
        <f aca="false">(L29/J29-1)*-1</f>
        <v>0.242214532871972</v>
      </c>
      <c r="L29" s="15" t="n">
        <v>219</v>
      </c>
    </row>
    <row r="30" customFormat="false" ht="15" hidden="false" customHeight="true" outlineLevel="0" collapsed="false">
      <c r="A30" s="1" t="s">
        <v>1039</v>
      </c>
      <c r="B30" s="1" t="s">
        <v>20</v>
      </c>
      <c r="C30" s="1" t="s">
        <v>1040</v>
      </c>
      <c r="D30" s="1" t="s">
        <v>1059</v>
      </c>
      <c r="E30" s="25" t="s">
        <v>1113</v>
      </c>
      <c r="F30" s="25" t="s">
        <v>1114</v>
      </c>
      <c r="G30" s="1" t="s">
        <v>1044</v>
      </c>
      <c r="H30" s="1" t="s">
        <v>1115</v>
      </c>
      <c r="J30" s="15" t="n">
        <v>409</v>
      </c>
      <c r="K30" s="3" t="n">
        <f aca="false">(L30/J30-1)*-1</f>
        <v>0.244498777506112</v>
      </c>
      <c r="L30" s="15" t="n">
        <v>309</v>
      </c>
    </row>
    <row r="31" customFormat="false" ht="15" hidden="false" customHeight="true" outlineLevel="0" collapsed="false">
      <c r="A31" s="1" t="s">
        <v>1039</v>
      </c>
      <c r="B31" s="1" t="s">
        <v>1058</v>
      </c>
      <c r="C31" s="1" t="s">
        <v>1040</v>
      </c>
      <c r="D31" s="1" t="s">
        <v>1059</v>
      </c>
      <c r="E31" s="25" t="s">
        <v>1116</v>
      </c>
      <c r="F31" s="25" t="s">
        <v>1117</v>
      </c>
      <c r="G31" s="1" t="s">
        <v>1044</v>
      </c>
      <c r="H31" s="1" t="s">
        <v>1045</v>
      </c>
      <c r="I31" s="1" t="s">
        <v>32</v>
      </c>
      <c r="J31" s="15" t="n">
        <v>349</v>
      </c>
      <c r="K31" s="3" t="n">
        <f aca="false">(L31/J31-1)*-1</f>
        <v>0.286532951289398</v>
      </c>
      <c r="L31" s="15" t="n">
        <v>249</v>
      </c>
    </row>
    <row r="32" customFormat="false" ht="15" hidden="false" customHeight="true" outlineLevel="0" collapsed="false">
      <c r="A32" s="1" t="s">
        <v>1039</v>
      </c>
      <c r="B32" s="1" t="s">
        <v>20</v>
      </c>
      <c r="C32" s="1" t="s">
        <v>1040</v>
      </c>
      <c r="D32" s="1" t="s">
        <v>1118</v>
      </c>
      <c r="E32" s="25" t="s">
        <v>1119</v>
      </c>
      <c r="F32" s="25" t="s">
        <v>1120</v>
      </c>
      <c r="G32" s="1" t="s">
        <v>1044</v>
      </c>
      <c r="H32" s="1" t="s">
        <v>1045</v>
      </c>
      <c r="J32" s="15" t="n">
        <v>759</v>
      </c>
      <c r="K32" s="3" t="n">
        <f aca="false">(L32/J32-1)*-1</f>
        <v>0.316205533596838</v>
      </c>
      <c r="L32" s="15" t="n">
        <v>519</v>
      </c>
    </row>
    <row r="33" customFormat="false" ht="15" hidden="false" customHeight="true" outlineLevel="0" collapsed="false">
      <c r="A33" s="1" t="s">
        <v>1039</v>
      </c>
      <c r="B33" s="1" t="s">
        <v>1058</v>
      </c>
      <c r="C33" s="1" t="s">
        <v>1040</v>
      </c>
      <c r="D33" s="1" t="s">
        <v>1121</v>
      </c>
      <c r="E33" s="25" t="s">
        <v>1122</v>
      </c>
      <c r="F33" s="25" t="s">
        <v>1123</v>
      </c>
      <c r="G33" s="1" t="s">
        <v>1044</v>
      </c>
      <c r="H33" s="1" t="s">
        <v>1062</v>
      </c>
      <c r="J33" s="15" t="n">
        <v>159</v>
      </c>
      <c r="K33" s="3" t="n">
        <f aca="false">(L33/J33-1)*-1</f>
        <v>0.188679245283019</v>
      </c>
      <c r="L33" s="15" t="n">
        <v>129</v>
      </c>
    </row>
    <row r="34" customFormat="false" ht="15" hidden="false" customHeight="true" outlineLevel="0" collapsed="false">
      <c r="A34" s="1" t="s">
        <v>1039</v>
      </c>
      <c r="B34" s="1" t="s">
        <v>1058</v>
      </c>
      <c r="C34" s="1" t="s">
        <v>1040</v>
      </c>
      <c r="D34" s="1" t="s">
        <v>1121</v>
      </c>
      <c r="E34" s="25" t="s">
        <v>1124</v>
      </c>
      <c r="F34" s="25" t="s">
        <v>1125</v>
      </c>
      <c r="G34" s="1" t="s">
        <v>1044</v>
      </c>
      <c r="H34" s="1" t="s">
        <v>1102</v>
      </c>
      <c r="J34" s="15" t="n">
        <v>249</v>
      </c>
      <c r="K34" s="3" t="n">
        <f aca="false">(L34/J34-1)*-1</f>
        <v>0.200803212851406</v>
      </c>
      <c r="L34" s="15" t="n">
        <v>199</v>
      </c>
    </row>
    <row r="35" customFormat="false" ht="15" hidden="false" customHeight="true" outlineLevel="0" collapsed="false">
      <c r="A35" s="1" t="s">
        <v>1039</v>
      </c>
      <c r="B35" s="1" t="s">
        <v>20</v>
      </c>
      <c r="C35" s="1" t="s">
        <v>1040</v>
      </c>
      <c r="D35" s="1" t="s">
        <v>1118</v>
      </c>
      <c r="E35" s="25" t="s">
        <v>1126</v>
      </c>
      <c r="F35" s="25" t="s">
        <v>1127</v>
      </c>
      <c r="G35" s="1" t="s">
        <v>1044</v>
      </c>
      <c r="H35" s="1" t="s">
        <v>1045</v>
      </c>
      <c r="J35" s="15" t="n">
        <v>449</v>
      </c>
      <c r="K35" s="3" t="n">
        <f aca="false">(L35/J35-1)*-1</f>
        <v>0.289532293986637</v>
      </c>
      <c r="L35" s="15" t="n">
        <v>319</v>
      </c>
    </row>
    <row r="36" customFormat="false" ht="15" hidden="false" customHeight="true" outlineLevel="0" collapsed="false">
      <c r="A36" s="1" t="s">
        <v>1039</v>
      </c>
      <c r="B36" s="1" t="s">
        <v>20</v>
      </c>
      <c r="C36" s="1" t="s">
        <v>1040</v>
      </c>
      <c r="D36" s="1" t="s">
        <v>1041</v>
      </c>
      <c r="E36" s="25" t="s">
        <v>1128</v>
      </c>
      <c r="F36" s="25" t="s">
        <v>1129</v>
      </c>
      <c r="G36" s="1" t="s">
        <v>1044</v>
      </c>
      <c r="H36" s="1" t="s">
        <v>1045</v>
      </c>
      <c r="I36" s="1" t="s">
        <v>32</v>
      </c>
      <c r="J36" s="15" t="n">
        <v>179</v>
      </c>
      <c r="K36" s="3" t="n">
        <f aca="false">(L36/J36-1)*-1</f>
        <v>0.201117318435754</v>
      </c>
      <c r="L36" s="15" t="n">
        <v>143</v>
      </c>
    </row>
    <row r="37" customFormat="false" ht="15" hidden="false" customHeight="true" outlineLevel="0" collapsed="false">
      <c r="A37" s="1" t="s">
        <v>1039</v>
      </c>
      <c r="B37" s="1" t="s">
        <v>20</v>
      </c>
      <c r="C37" s="1" t="s">
        <v>1040</v>
      </c>
      <c r="D37" s="1" t="s">
        <v>1118</v>
      </c>
      <c r="E37" s="25" t="s">
        <v>1130</v>
      </c>
      <c r="F37" s="25" t="s">
        <v>1131</v>
      </c>
      <c r="G37" s="1" t="s">
        <v>1044</v>
      </c>
      <c r="H37" s="1" t="s">
        <v>1045</v>
      </c>
      <c r="J37" s="15" t="n">
        <v>619</v>
      </c>
      <c r="K37" s="3" t="n">
        <f aca="false">(L37/J37-1)*-1</f>
        <v>0.306946688206785</v>
      </c>
      <c r="L37" s="15" t="n">
        <v>429</v>
      </c>
    </row>
    <row r="38" customFormat="false" ht="15" hidden="false" customHeight="true" outlineLevel="0" collapsed="false">
      <c r="A38" s="1" t="s">
        <v>1063</v>
      </c>
      <c r="B38" s="1" t="s">
        <v>20</v>
      </c>
      <c r="C38" s="1" t="s">
        <v>1040</v>
      </c>
      <c r="D38" s="1" t="s">
        <v>1041</v>
      </c>
      <c r="E38" s="25" t="s">
        <v>1132</v>
      </c>
      <c r="F38" s="25" t="s">
        <v>1133</v>
      </c>
      <c r="G38" s="1" t="s">
        <v>1044</v>
      </c>
      <c r="H38" s="1" t="s">
        <v>1045</v>
      </c>
      <c r="I38" s="1" t="s">
        <v>56</v>
      </c>
      <c r="J38" s="15" t="n">
        <v>339</v>
      </c>
      <c r="K38" s="3" t="n">
        <f aca="false">(L38/J38-1)*-1</f>
        <v>0.141592920353982</v>
      </c>
      <c r="L38" s="15" t="n">
        <v>291</v>
      </c>
    </row>
    <row r="39" customFormat="false" ht="15" hidden="false" customHeight="true" outlineLevel="0" collapsed="false">
      <c r="A39" s="1" t="s">
        <v>1039</v>
      </c>
      <c r="B39" s="1" t="s">
        <v>20</v>
      </c>
      <c r="C39" s="1" t="s">
        <v>1040</v>
      </c>
      <c r="D39" s="1" t="s">
        <v>1041</v>
      </c>
      <c r="E39" s="25" t="s">
        <v>1134</v>
      </c>
      <c r="F39" s="25" t="s">
        <v>1135</v>
      </c>
      <c r="G39" s="1" t="s">
        <v>1044</v>
      </c>
      <c r="H39" s="1" t="s">
        <v>1045</v>
      </c>
      <c r="J39" s="15" t="n">
        <v>389</v>
      </c>
      <c r="K39" s="3" t="n">
        <f aca="false">(L39/J39-1)*-1</f>
        <v>0.231362467866324</v>
      </c>
      <c r="L39" s="15" t="n">
        <v>299</v>
      </c>
      <c r="M39" s="1" t="s">
        <v>1050</v>
      </c>
    </row>
    <row r="40" customFormat="false" ht="15" hidden="false" customHeight="true" outlineLevel="0" collapsed="false">
      <c r="A40" s="1" t="s">
        <v>1136</v>
      </c>
      <c r="B40" s="1" t="s">
        <v>1137</v>
      </c>
      <c r="C40" s="1" t="s">
        <v>1040</v>
      </c>
      <c r="D40" s="1" t="s">
        <v>1138</v>
      </c>
      <c r="E40" s="1" t="s">
        <v>1139</v>
      </c>
      <c r="F40" s="1" t="s">
        <v>1140</v>
      </c>
      <c r="G40" s="1" t="s">
        <v>1044</v>
      </c>
      <c r="H40" s="1" t="s">
        <v>1062</v>
      </c>
      <c r="I40" s="1" t="s">
        <v>32</v>
      </c>
      <c r="J40" s="15" t="n">
        <v>209</v>
      </c>
      <c r="K40" s="3" t="n">
        <f aca="false">(L40/J40-1)*-1</f>
        <v>0.287081339712919</v>
      </c>
      <c r="L40" s="15" t="n">
        <v>149</v>
      </c>
    </row>
    <row r="41" customFormat="false" ht="15" hidden="false" customHeight="true" outlineLevel="0" collapsed="false">
      <c r="A41" s="1" t="s">
        <v>1136</v>
      </c>
      <c r="B41" s="1" t="s">
        <v>1141</v>
      </c>
      <c r="C41" s="1" t="s">
        <v>1040</v>
      </c>
      <c r="D41" s="1" t="s">
        <v>1138</v>
      </c>
      <c r="E41" s="1" t="s">
        <v>1139</v>
      </c>
      <c r="F41" s="1" t="s">
        <v>1140</v>
      </c>
      <c r="G41" s="1" t="s">
        <v>1044</v>
      </c>
      <c r="H41" s="1" t="s">
        <v>1062</v>
      </c>
      <c r="I41" s="1" t="s">
        <v>32</v>
      </c>
      <c r="J41" s="15" t="n">
        <v>209</v>
      </c>
      <c r="K41" s="3" t="n">
        <f aca="false">(L41/J41-1)*-1</f>
        <v>0.239234449760766</v>
      </c>
      <c r="L41" s="15" t="n">
        <v>159</v>
      </c>
    </row>
    <row r="42" customFormat="false" ht="15" hidden="false" customHeight="true" outlineLevel="0" collapsed="false">
      <c r="A42" s="1" t="s">
        <v>1136</v>
      </c>
      <c r="B42" s="1" t="s">
        <v>1142</v>
      </c>
      <c r="C42" s="1" t="s">
        <v>1040</v>
      </c>
      <c r="D42" s="1" t="s">
        <v>1138</v>
      </c>
      <c r="E42" s="1" t="s">
        <v>1139</v>
      </c>
      <c r="F42" s="1" t="s">
        <v>1140</v>
      </c>
      <c r="G42" s="1" t="s">
        <v>1044</v>
      </c>
      <c r="H42" s="1" t="s">
        <v>1062</v>
      </c>
      <c r="I42" s="1" t="s">
        <v>32</v>
      </c>
      <c r="J42" s="15" t="n">
        <v>209</v>
      </c>
      <c r="K42" s="3" t="n">
        <f aca="false">(L42/J42-1)*-1</f>
        <v>0.301435406698565</v>
      </c>
      <c r="L42" s="15" t="n">
        <v>146</v>
      </c>
    </row>
    <row r="43" customFormat="false" ht="15" hidden="false" customHeight="true" outlineLevel="0" collapsed="false">
      <c r="A43" s="1" t="s">
        <v>1136</v>
      </c>
      <c r="B43" s="1" t="s">
        <v>1137</v>
      </c>
      <c r="C43" s="1" t="s">
        <v>1040</v>
      </c>
      <c r="D43" s="1" t="s">
        <v>1138</v>
      </c>
      <c r="E43" s="1" t="s">
        <v>1143</v>
      </c>
      <c r="F43" s="1" t="s">
        <v>1144</v>
      </c>
      <c r="G43" s="1" t="s">
        <v>1044</v>
      </c>
      <c r="H43" s="1" t="s">
        <v>1062</v>
      </c>
      <c r="I43" s="1" t="s">
        <v>32</v>
      </c>
      <c r="J43" s="15" t="n">
        <v>139</v>
      </c>
      <c r="K43" s="3" t="n">
        <f aca="false">(L43/J43-1)*-1</f>
        <v>0.287769784172662</v>
      </c>
      <c r="L43" s="15" t="n">
        <v>99</v>
      </c>
    </row>
    <row r="44" customFormat="false" ht="15" hidden="false" customHeight="true" outlineLevel="0" collapsed="false">
      <c r="A44" s="1" t="s">
        <v>1136</v>
      </c>
      <c r="B44" s="1" t="s">
        <v>1141</v>
      </c>
      <c r="C44" s="1" t="s">
        <v>1040</v>
      </c>
      <c r="D44" s="1" t="s">
        <v>1138</v>
      </c>
      <c r="E44" s="1" t="s">
        <v>1143</v>
      </c>
      <c r="F44" s="1" t="s">
        <v>1144</v>
      </c>
      <c r="G44" s="1" t="s">
        <v>1044</v>
      </c>
      <c r="H44" s="1" t="s">
        <v>1062</v>
      </c>
      <c r="I44" s="1" t="s">
        <v>32</v>
      </c>
      <c r="J44" s="15" t="n">
        <v>139</v>
      </c>
      <c r="K44" s="3" t="n">
        <f aca="false">(L44/J44-1)*-1</f>
        <v>0.215827338129496</v>
      </c>
      <c r="L44" s="15" t="n">
        <v>109</v>
      </c>
    </row>
    <row r="45" customFormat="false" ht="15" hidden="false" customHeight="true" outlineLevel="0" collapsed="false">
      <c r="A45" s="1" t="s">
        <v>1136</v>
      </c>
      <c r="B45" s="1" t="s">
        <v>1142</v>
      </c>
      <c r="C45" s="1" t="s">
        <v>1040</v>
      </c>
      <c r="D45" s="1" t="s">
        <v>1138</v>
      </c>
      <c r="E45" s="1" t="s">
        <v>1143</v>
      </c>
      <c r="F45" s="1" t="s">
        <v>1144</v>
      </c>
      <c r="G45" s="1" t="s">
        <v>1044</v>
      </c>
      <c r="H45" s="1" t="s">
        <v>1062</v>
      </c>
      <c r="I45" s="1" t="s">
        <v>32</v>
      </c>
      <c r="J45" s="15" t="n">
        <v>139</v>
      </c>
      <c r="K45" s="3" t="n">
        <f aca="false">(L45/J45-1)*-1</f>
        <v>0.309352517985612</v>
      </c>
      <c r="L45" s="15" t="n">
        <v>96</v>
      </c>
    </row>
    <row r="46" customFormat="false" ht="15" hidden="false" customHeight="true" outlineLevel="0" collapsed="false">
      <c r="A46" s="1" t="s">
        <v>1039</v>
      </c>
      <c r="B46" s="1" t="s">
        <v>20</v>
      </c>
      <c r="C46" s="1" t="s">
        <v>1040</v>
      </c>
      <c r="D46" s="1" t="s">
        <v>1041</v>
      </c>
      <c r="E46" s="25" t="s">
        <v>1145</v>
      </c>
      <c r="F46" s="25" t="s">
        <v>1146</v>
      </c>
      <c r="G46" s="1" t="s">
        <v>1044</v>
      </c>
      <c r="H46" s="1" t="s">
        <v>1045</v>
      </c>
      <c r="I46" s="1" t="s">
        <v>32</v>
      </c>
      <c r="J46" s="15" t="n">
        <v>229</v>
      </c>
      <c r="K46" s="3" t="n">
        <f aca="false">(L46/J46-1)*-1</f>
        <v>0.301310043668122</v>
      </c>
      <c r="L46" s="15" t="n">
        <v>160</v>
      </c>
    </row>
    <row r="47" customFormat="false" ht="15" hidden="false" customHeight="true" outlineLevel="0" collapsed="false">
      <c r="A47" s="1" t="s">
        <v>1039</v>
      </c>
      <c r="B47" s="1" t="s">
        <v>20</v>
      </c>
      <c r="C47" s="1" t="s">
        <v>1040</v>
      </c>
      <c r="D47" s="1" t="s">
        <v>1041</v>
      </c>
      <c r="E47" s="25" t="s">
        <v>1147</v>
      </c>
      <c r="F47" s="25" t="s">
        <v>1148</v>
      </c>
      <c r="G47" s="1" t="s">
        <v>1044</v>
      </c>
      <c r="H47" s="1" t="s">
        <v>1045</v>
      </c>
      <c r="I47" s="1" t="s">
        <v>56</v>
      </c>
      <c r="J47" s="15" t="n">
        <v>339</v>
      </c>
      <c r="K47" s="3" t="n">
        <f aca="false">(L47/J47-1)*-1</f>
        <v>0.294985250737463</v>
      </c>
      <c r="L47" s="15" t="n">
        <v>239</v>
      </c>
      <c r="M47" s="1" t="s">
        <v>1055</v>
      </c>
    </row>
    <row r="48" customFormat="false" ht="15" hidden="false" customHeight="true" outlineLevel="0" collapsed="false">
      <c r="A48" s="1" t="s">
        <v>1063</v>
      </c>
      <c r="B48" s="1" t="s">
        <v>20</v>
      </c>
      <c r="C48" s="1" t="s">
        <v>1040</v>
      </c>
      <c r="D48" s="1" t="s">
        <v>1086</v>
      </c>
      <c r="E48" s="25" t="s">
        <v>1149</v>
      </c>
      <c r="F48" s="25" t="s">
        <v>1150</v>
      </c>
      <c r="G48" s="1" t="s">
        <v>1044</v>
      </c>
      <c r="H48" s="1" t="s">
        <v>1151</v>
      </c>
      <c r="J48" s="15" t="n">
        <v>709</v>
      </c>
      <c r="K48" s="3" t="n">
        <f aca="false">(L48/J48-1)*-1</f>
        <v>0.118476727785614</v>
      </c>
      <c r="L48" s="15" t="n">
        <v>625</v>
      </c>
    </row>
    <row r="49" customFormat="false" ht="15" hidden="false" customHeight="true" outlineLevel="0" collapsed="false">
      <c r="A49" s="1" t="s">
        <v>1063</v>
      </c>
      <c r="B49" s="1" t="s">
        <v>20</v>
      </c>
      <c r="C49" s="1" t="s">
        <v>1040</v>
      </c>
      <c r="D49" s="1" t="s">
        <v>1086</v>
      </c>
      <c r="E49" s="25" t="s">
        <v>1149</v>
      </c>
      <c r="F49" s="25" t="s">
        <v>1152</v>
      </c>
      <c r="G49" s="1" t="s">
        <v>1044</v>
      </c>
      <c r="H49" s="1" t="s">
        <v>1153</v>
      </c>
      <c r="J49" s="15" t="n">
        <v>2239</v>
      </c>
      <c r="K49" s="3" t="n">
        <f aca="false">(L49/J49-1)*-1</f>
        <v>0.107190710138455</v>
      </c>
      <c r="L49" s="15" t="n">
        <v>1999</v>
      </c>
    </row>
    <row r="50" customFormat="false" ht="15" hidden="false" customHeight="true" outlineLevel="0" collapsed="false">
      <c r="A50" s="1" t="s">
        <v>1136</v>
      </c>
      <c r="B50" s="1" t="s">
        <v>1137</v>
      </c>
      <c r="C50" s="1" t="s">
        <v>1040</v>
      </c>
      <c r="D50" s="1" t="s">
        <v>1154</v>
      </c>
      <c r="E50" s="1" t="s">
        <v>1155</v>
      </c>
      <c r="F50" s="1" t="s">
        <v>1156</v>
      </c>
      <c r="G50" s="1" t="s">
        <v>1044</v>
      </c>
      <c r="H50" s="1" t="s">
        <v>1062</v>
      </c>
      <c r="I50" s="1" t="s">
        <v>56</v>
      </c>
      <c r="J50" s="15" t="n">
        <v>219</v>
      </c>
      <c r="K50" s="3" t="n">
        <f aca="false">(L50/J50-1)*-1</f>
        <v>0.273972602739726</v>
      </c>
      <c r="L50" s="15" t="n">
        <v>159</v>
      </c>
    </row>
    <row r="51" customFormat="false" ht="15" hidden="false" customHeight="true" outlineLevel="0" collapsed="false">
      <c r="A51" s="1" t="s">
        <v>1136</v>
      </c>
      <c r="B51" s="1" t="s">
        <v>1141</v>
      </c>
      <c r="C51" s="1" t="s">
        <v>1040</v>
      </c>
      <c r="D51" s="1" t="s">
        <v>1154</v>
      </c>
      <c r="E51" s="1" t="s">
        <v>1155</v>
      </c>
      <c r="F51" s="1" t="s">
        <v>1156</v>
      </c>
      <c r="G51" s="1" t="s">
        <v>1044</v>
      </c>
      <c r="H51" s="1" t="s">
        <v>1062</v>
      </c>
      <c r="I51" s="1" t="s">
        <v>56</v>
      </c>
      <c r="J51" s="15" t="n">
        <v>219</v>
      </c>
      <c r="K51" s="3" t="n">
        <f aca="false">(L51/J51-1)*-1</f>
        <v>0.228310502283105</v>
      </c>
      <c r="L51" s="15" t="n">
        <v>169</v>
      </c>
    </row>
    <row r="52" customFormat="false" ht="15" hidden="false" customHeight="true" outlineLevel="0" collapsed="false">
      <c r="A52" s="1" t="s">
        <v>1136</v>
      </c>
      <c r="B52" s="1" t="s">
        <v>1142</v>
      </c>
      <c r="C52" s="1" t="s">
        <v>1040</v>
      </c>
      <c r="D52" s="1" t="s">
        <v>1154</v>
      </c>
      <c r="E52" s="1" t="s">
        <v>1155</v>
      </c>
      <c r="F52" s="1" t="s">
        <v>1156</v>
      </c>
      <c r="G52" s="1" t="s">
        <v>1044</v>
      </c>
      <c r="H52" s="1" t="s">
        <v>1062</v>
      </c>
      <c r="I52" s="1" t="s">
        <v>56</v>
      </c>
      <c r="J52" s="15" t="n">
        <v>219</v>
      </c>
      <c r="K52" s="3" t="n">
        <f aca="false">(L52/J52-1)*-1</f>
        <v>0.273972602739726</v>
      </c>
      <c r="L52" s="15" t="n">
        <v>159</v>
      </c>
    </row>
    <row r="53" customFormat="false" ht="15" hidden="false" customHeight="true" outlineLevel="0" collapsed="false">
      <c r="A53" s="1" t="s">
        <v>1136</v>
      </c>
      <c r="B53" s="1" t="s">
        <v>1142</v>
      </c>
      <c r="C53" s="1" t="s">
        <v>1040</v>
      </c>
      <c r="D53" s="1" t="s">
        <v>1154</v>
      </c>
      <c r="E53" s="1" t="s">
        <v>1157</v>
      </c>
      <c r="F53" s="1" t="s">
        <v>1158</v>
      </c>
      <c r="G53" s="1" t="s">
        <v>1044</v>
      </c>
      <c r="H53" s="1" t="s">
        <v>1062</v>
      </c>
      <c r="I53" s="1" t="s">
        <v>56</v>
      </c>
      <c r="J53" s="15" t="n">
        <v>159</v>
      </c>
      <c r="K53" s="3" t="n">
        <f aca="false">(L53/J53-1)*-1</f>
        <v>0.314465408805032</v>
      </c>
      <c r="L53" s="15" t="n">
        <v>109</v>
      </c>
    </row>
    <row r="54" customFormat="false" ht="15" hidden="false" customHeight="true" outlineLevel="0" collapsed="false">
      <c r="A54" s="1" t="s">
        <v>1136</v>
      </c>
      <c r="B54" s="1" t="s">
        <v>1137</v>
      </c>
      <c r="C54" s="1" t="s">
        <v>1040</v>
      </c>
      <c r="D54" s="1" t="s">
        <v>1154</v>
      </c>
      <c r="E54" s="1" t="s">
        <v>1159</v>
      </c>
      <c r="F54" s="1" t="s">
        <v>1160</v>
      </c>
      <c r="G54" s="1" t="s">
        <v>1044</v>
      </c>
      <c r="H54" s="1" t="s">
        <v>1062</v>
      </c>
      <c r="I54" s="1" t="s">
        <v>56</v>
      </c>
      <c r="J54" s="15" t="n">
        <v>149</v>
      </c>
      <c r="K54" s="3" t="n">
        <f aca="false">(L54/J54-1)*-1</f>
        <v>0.335570469798658</v>
      </c>
      <c r="L54" s="15" t="n">
        <v>99</v>
      </c>
    </row>
    <row r="55" customFormat="false" ht="14" hidden="false" customHeight="false" outlineLevel="0" collapsed="false">
      <c r="A55" s="1" t="s">
        <v>1136</v>
      </c>
      <c r="B55" s="1" t="s">
        <v>1141</v>
      </c>
      <c r="C55" s="1" t="s">
        <v>1040</v>
      </c>
      <c r="D55" s="1" t="s">
        <v>1154</v>
      </c>
      <c r="E55" s="1" t="s">
        <v>1159</v>
      </c>
      <c r="F55" s="1" t="s">
        <v>1160</v>
      </c>
      <c r="G55" s="1" t="s">
        <v>1044</v>
      </c>
      <c r="H55" s="1" t="s">
        <v>1062</v>
      </c>
      <c r="I55" s="1" t="s">
        <v>56</v>
      </c>
      <c r="J55" s="15" t="n">
        <v>149</v>
      </c>
      <c r="K55" s="3" t="n">
        <f aca="false">(L55/J55-1)*-1</f>
        <v>0.523489932885906</v>
      </c>
      <c r="L55" s="15" t="n">
        <v>71</v>
      </c>
    </row>
    <row r="56" customFormat="false" ht="14" hidden="false" customHeight="false" outlineLevel="0" collapsed="false">
      <c r="A56" s="1" t="s">
        <v>1161</v>
      </c>
      <c r="B56" s="1" t="s">
        <v>1162</v>
      </c>
      <c r="C56" s="1" t="s">
        <v>1040</v>
      </c>
      <c r="D56" s="1" t="s">
        <v>195</v>
      </c>
      <c r="E56" s="1" t="s">
        <v>1163</v>
      </c>
      <c r="F56" s="1" t="s">
        <v>1164</v>
      </c>
      <c r="G56" s="1" t="s">
        <v>1044</v>
      </c>
      <c r="H56" s="1" t="s">
        <v>1165</v>
      </c>
      <c r="I56" s="1" t="s">
        <v>32</v>
      </c>
      <c r="J56" s="15" t="n">
        <v>339</v>
      </c>
      <c r="K56" s="3" t="n">
        <f aca="false">(L56/J56-1)*-1</f>
        <v>0.221238938053097</v>
      </c>
      <c r="L56" s="15" t="n">
        <v>264</v>
      </c>
    </row>
    <row r="57" customFormat="false" ht="14" hidden="false" customHeight="false" outlineLevel="0" collapsed="false">
      <c r="A57" s="1" t="s">
        <v>1161</v>
      </c>
      <c r="B57" s="1" t="s">
        <v>1166</v>
      </c>
      <c r="C57" s="1" t="s">
        <v>1040</v>
      </c>
      <c r="D57" s="1" t="s">
        <v>195</v>
      </c>
      <c r="E57" s="1" t="s">
        <v>1163</v>
      </c>
      <c r="F57" s="1" t="s">
        <v>1164</v>
      </c>
      <c r="G57" s="1" t="s">
        <v>1044</v>
      </c>
      <c r="H57" s="1" t="s">
        <v>1165</v>
      </c>
      <c r="I57" s="1" t="s">
        <v>32</v>
      </c>
      <c r="J57" s="15" t="n">
        <v>339</v>
      </c>
      <c r="K57" s="3" t="n">
        <f aca="false">(L57/J57-1)*-1</f>
        <v>0.191740412979351</v>
      </c>
      <c r="L57" s="15" t="n">
        <v>274</v>
      </c>
    </row>
    <row r="58" customFormat="false" ht="14" hidden="false" customHeight="false" outlineLevel="0" collapsed="false">
      <c r="A58" s="1" t="s">
        <v>1161</v>
      </c>
      <c r="B58" s="1" t="s">
        <v>1167</v>
      </c>
      <c r="C58" s="1" t="s">
        <v>1040</v>
      </c>
      <c r="D58" s="1" t="s">
        <v>195</v>
      </c>
      <c r="E58" s="1" t="s">
        <v>1163</v>
      </c>
      <c r="F58" s="1" t="s">
        <v>1164</v>
      </c>
      <c r="G58" s="1" t="s">
        <v>1044</v>
      </c>
      <c r="H58" s="1" t="s">
        <v>1165</v>
      </c>
      <c r="I58" s="1" t="s">
        <v>32</v>
      </c>
      <c r="J58" s="15" t="n">
        <v>339</v>
      </c>
      <c r="K58" s="3" t="n">
        <f aca="false">(L58/J58-1)*-1</f>
        <v>0.235988200589971</v>
      </c>
      <c r="L58" s="15" t="n">
        <v>259</v>
      </c>
    </row>
    <row r="59" customFormat="false" ht="14" hidden="false" customHeight="false" outlineLevel="0" collapsed="false">
      <c r="A59" s="1" t="s">
        <v>1161</v>
      </c>
      <c r="B59" s="1" t="s">
        <v>1162</v>
      </c>
      <c r="C59" s="1" t="s">
        <v>1040</v>
      </c>
      <c r="D59" s="1" t="s">
        <v>1138</v>
      </c>
      <c r="E59" s="1" t="s">
        <v>1168</v>
      </c>
      <c r="F59" s="1" t="s">
        <v>1169</v>
      </c>
      <c r="G59" s="1" t="s">
        <v>1044</v>
      </c>
      <c r="H59" s="1" t="s">
        <v>1165</v>
      </c>
      <c r="I59" s="1" t="s">
        <v>32</v>
      </c>
      <c r="J59" s="15" t="n">
        <v>249</v>
      </c>
      <c r="K59" s="3" t="n">
        <f aca="false">(L59/J59-1)*-1</f>
        <v>0.200803212851406</v>
      </c>
      <c r="L59" s="15" t="n">
        <v>199</v>
      </c>
    </row>
    <row r="60" customFormat="false" ht="14" hidden="false" customHeight="false" outlineLevel="0" collapsed="false">
      <c r="A60" s="1" t="s">
        <v>1161</v>
      </c>
      <c r="B60" s="1" t="s">
        <v>1166</v>
      </c>
      <c r="C60" s="1" t="s">
        <v>1040</v>
      </c>
      <c r="D60" s="1" t="s">
        <v>1138</v>
      </c>
      <c r="E60" s="1" t="s">
        <v>1168</v>
      </c>
      <c r="F60" s="1" t="s">
        <v>1169</v>
      </c>
      <c r="G60" s="1" t="s">
        <v>1044</v>
      </c>
      <c r="H60" s="1" t="s">
        <v>1165</v>
      </c>
      <c r="I60" s="1" t="s">
        <v>32</v>
      </c>
      <c r="J60" s="15" t="n">
        <v>249</v>
      </c>
      <c r="K60" s="3" t="n">
        <f aca="false">(L60/J60-1)*-1</f>
        <v>0.180722891566265</v>
      </c>
      <c r="L60" s="15" t="n">
        <v>204</v>
      </c>
    </row>
    <row r="61" customFormat="false" ht="14" hidden="false" customHeight="false" outlineLevel="0" collapsed="false">
      <c r="A61" s="1" t="s">
        <v>1161</v>
      </c>
      <c r="B61" s="1" t="s">
        <v>1167</v>
      </c>
      <c r="C61" s="1" t="s">
        <v>1040</v>
      </c>
      <c r="D61" s="1" t="s">
        <v>1138</v>
      </c>
      <c r="E61" s="1" t="s">
        <v>1168</v>
      </c>
      <c r="F61" s="1" t="s">
        <v>1169</v>
      </c>
      <c r="G61" s="1" t="s">
        <v>1044</v>
      </c>
      <c r="H61" s="1" t="s">
        <v>1165</v>
      </c>
      <c r="I61" s="1" t="s">
        <v>32</v>
      </c>
      <c r="J61" s="15" t="n">
        <v>249</v>
      </c>
      <c r="K61" s="3" t="n">
        <f aca="false">(L61/J61-1)*-1</f>
        <v>0.220883534136546</v>
      </c>
      <c r="L61" s="15" t="n">
        <v>194</v>
      </c>
    </row>
    <row r="62" customFormat="false" ht="14" hidden="false" customHeight="false" outlineLevel="0" collapsed="false">
      <c r="A62" s="1" t="s">
        <v>1161</v>
      </c>
      <c r="B62" s="1" t="s">
        <v>1162</v>
      </c>
      <c r="C62" s="1" t="s">
        <v>1040</v>
      </c>
      <c r="D62" s="1" t="s">
        <v>195</v>
      </c>
      <c r="E62" s="1" t="s">
        <v>1170</v>
      </c>
      <c r="F62" s="1" t="s">
        <v>1171</v>
      </c>
      <c r="G62" s="1" t="s">
        <v>1044</v>
      </c>
      <c r="H62" s="1" t="s">
        <v>1062</v>
      </c>
      <c r="I62" s="1" t="s">
        <v>32</v>
      </c>
      <c r="J62" s="15" t="n">
        <v>169</v>
      </c>
      <c r="K62" s="3" t="n">
        <f aca="false">(L62/J62-1)*-1</f>
        <v>0.218934911242604</v>
      </c>
      <c r="L62" s="15" t="n">
        <v>132</v>
      </c>
    </row>
    <row r="63" customFormat="false" ht="14" hidden="false" customHeight="false" outlineLevel="0" collapsed="false">
      <c r="A63" s="1" t="s">
        <v>1161</v>
      </c>
      <c r="B63" s="1" t="s">
        <v>1166</v>
      </c>
      <c r="C63" s="1" t="s">
        <v>1040</v>
      </c>
      <c r="D63" s="1" t="s">
        <v>195</v>
      </c>
      <c r="E63" s="1" t="s">
        <v>1170</v>
      </c>
      <c r="F63" s="1" t="s">
        <v>1171</v>
      </c>
      <c r="G63" s="1" t="s">
        <v>1044</v>
      </c>
      <c r="H63" s="1" t="s">
        <v>1062</v>
      </c>
      <c r="I63" s="1" t="s">
        <v>32</v>
      </c>
      <c r="J63" s="15" t="n">
        <v>169</v>
      </c>
      <c r="K63" s="3" t="n">
        <f aca="false">(L63/J63-1)*-1</f>
        <v>0.189349112426035</v>
      </c>
      <c r="L63" s="15" t="n">
        <v>137</v>
      </c>
    </row>
    <row r="64" customFormat="false" ht="14" hidden="false" customHeight="false" outlineLevel="0" collapsed="false">
      <c r="A64" s="1" t="s">
        <v>1161</v>
      </c>
      <c r="B64" s="1" t="s">
        <v>1167</v>
      </c>
      <c r="C64" s="1" t="s">
        <v>1040</v>
      </c>
      <c r="D64" s="1" t="s">
        <v>195</v>
      </c>
      <c r="E64" s="1" t="s">
        <v>1170</v>
      </c>
      <c r="F64" s="1" t="s">
        <v>1171</v>
      </c>
      <c r="G64" s="1" t="s">
        <v>1044</v>
      </c>
      <c r="H64" s="1" t="s">
        <v>1062</v>
      </c>
      <c r="I64" s="1" t="s">
        <v>32</v>
      </c>
      <c r="J64" s="15" t="n">
        <v>169</v>
      </c>
      <c r="K64" s="3" t="n">
        <f aca="false">(L64/J64-1)*-1</f>
        <v>0.233727810650888</v>
      </c>
      <c r="L64" s="15" t="n">
        <v>129.5</v>
      </c>
    </row>
    <row r="65" customFormat="false" ht="14" hidden="false" customHeight="false" outlineLevel="0" collapsed="false">
      <c r="A65" s="1" t="s">
        <v>1161</v>
      </c>
      <c r="B65" s="1" t="s">
        <v>1162</v>
      </c>
      <c r="C65" s="1" t="s">
        <v>1040</v>
      </c>
      <c r="D65" s="1" t="s">
        <v>1138</v>
      </c>
      <c r="E65" s="1" t="s">
        <v>1172</v>
      </c>
      <c r="F65" s="1" t="s">
        <v>1173</v>
      </c>
      <c r="G65" s="1" t="s">
        <v>1044</v>
      </c>
      <c r="H65" s="1" t="s">
        <v>1062</v>
      </c>
      <c r="I65" s="1" t="s">
        <v>32</v>
      </c>
      <c r="J65" s="15" t="n">
        <v>129</v>
      </c>
      <c r="K65" s="3" t="n">
        <f aca="false">(L65/J65-1)*-1</f>
        <v>0.232558139534884</v>
      </c>
      <c r="L65" s="15" t="n">
        <v>99</v>
      </c>
    </row>
    <row r="66" customFormat="false" ht="14" hidden="false" customHeight="false" outlineLevel="0" collapsed="false">
      <c r="A66" s="1" t="s">
        <v>1161</v>
      </c>
      <c r="B66" s="1" t="s">
        <v>1166</v>
      </c>
      <c r="C66" s="1" t="s">
        <v>1040</v>
      </c>
      <c r="D66" s="1" t="s">
        <v>1138</v>
      </c>
      <c r="E66" s="1" t="s">
        <v>1172</v>
      </c>
      <c r="F66" s="1" t="s">
        <v>1173</v>
      </c>
      <c r="G66" s="1" t="s">
        <v>1044</v>
      </c>
      <c r="H66" s="1" t="s">
        <v>1062</v>
      </c>
      <c r="I66" s="1" t="s">
        <v>32</v>
      </c>
      <c r="J66" s="15" t="n">
        <v>129</v>
      </c>
      <c r="K66" s="3" t="n">
        <f aca="false">(L66/J66-1)*-1</f>
        <v>0.209302325581395</v>
      </c>
      <c r="L66" s="15" t="n">
        <v>102</v>
      </c>
    </row>
    <row r="67" customFormat="false" ht="14" hidden="false" customHeight="false" outlineLevel="0" collapsed="false">
      <c r="A67" s="1" t="s">
        <v>1161</v>
      </c>
      <c r="B67" s="1" t="s">
        <v>1167</v>
      </c>
      <c r="C67" s="1" t="s">
        <v>1040</v>
      </c>
      <c r="D67" s="1" t="s">
        <v>1138</v>
      </c>
      <c r="E67" s="1" t="s">
        <v>1172</v>
      </c>
      <c r="F67" s="1" t="s">
        <v>1173</v>
      </c>
      <c r="G67" s="1" t="s">
        <v>1044</v>
      </c>
      <c r="H67" s="1" t="s">
        <v>1062</v>
      </c>
      <c r="I67" s="1" t="s">
        <v>32</v>
      </c>
      <c r="J67" s="15" t="n">
        <v>129</v>
      </c>
      <c r="K67" s="3" t="n">
        <f aca="false">(L67/J67-1)*-1</f>
        <v>0.248062015503876</v>
      </c>
      <c r="L67" s="15" t="n">
        <v>97</v>
      </c>
    </row>
    <row r="68" customFormat="false" ht="14" hidden="false" customHeight="false" outlineLevel="0" collapsed="false">
      <c r="A68" s="1" t="s">
        <v>1174</v>
      </c>
      <c r="B68" s="1" t="s">
        <v>1162</v>
      </c>
      <c r="C68" s="1" t="s">
        <v>1040</v>
      </c>
      <c r="D68" s="1" t="s">
        <v>195</v>
      </c>
      <c r="E68" s="1" t="s">
        <v>1175</v>
      </c>
      <c r="F68" s="1" t="s">
        <v>1176</v>
      </c>
      <c r="G68" s="1" t="s">
        <v>1044</v>
      </c>
      <c r="H68" s="1" t="s">
        <v>1165</v>
      </c>
      <c r="I68" s="1" t="s">
        <v>32</v>
      </c>
      <c r="J68" s="15" t="n">
        <v>339</v>
      </c>
      <c r="K68" s="3" t="n">
        <f aca="false">(L68/J68-1)*-1</f>
        <v>0.233038348082596</v>
      </c>
      <c r="L68" s="15" t="n">
        <v>260</v>
      </c>
    </row>
    <row r="69" customFormat="false" ht="14" hidden="false" customHeight="false" outlineLevel="0" collapsed="false">
      <c r="A69" s="1" t="s">
        <v>1174</v>
      </c>
      <c r="B69" s="1" t="s">
        <v>1166</v>
      </c>
      <c r="C69" s="1" t="s">
        <v>1040</v>
      </c>
      <c r="D69" s="1" t="s">
        <v>195</v>
      </c>
      <c r="E69" s="1" t="s">
        <v>1175</v>
      </c>
      <c r="F69" s="1" t="s">
        <v>1176</v>
      </c>
      <c r="G69" s="1" t="s">
        <v>1044</v>
      </c>
      <c r="H69" s="1" t="s">
        <v>1165</v>
      </c>
      <c r="I69" s="1" t="s">
        <v>32</v>
      </c>
      <c r="J69" s="15" t="n">
        <v>339</v>
      </c>
      <c r="K69" s="3" t="n">
        <f aca="false">(L69/J69-1)*-1</f>
        <v>0.191740412979351</v>
      </c>
      <c r="L69" s="15" t="n">
        <v>274</v>
      </c>
    </row>
    <row r="70" customFormat="false" ht="14" hidden="false" customHeight="false" outlineLevel="0" collapsed="false">
      <c r="A70" s="1" t="s">
        <v>1174</v>
      </c>
      <c r="B70" s="1" t="s">
        <v>1167</v>
      </c>
      <c r="C70" s="1" t="s">
        <v>1040</v>
      </c>
      <c r="D70" s="1" t="s">
        <v>195</v>
      </c>
      <c r="E70" s="1" t="s">
        <v>1175</v>
      </c>
      <c r="F70" s="1" t="s">
        <v>1176</v>
      </c>
      <c r="G70" s="1" t="s">
        <v>1044</v>
      </c>
      <c r="H70" s="1" t="s">
        <v>1165</v>
      </c>
      <c r="I70" s="1" t="s">
        <v>32</v>
      </c>
      <c r="J70" s="15" t="n">
        <v>339</v>
      </c>
      <c r="K70" s="3" t="n">
        <f aca="false">(L70/J70-1)*-1</f>
        <v>0.247787610619469</v>
      </c>
      <c r="L70" s="15" t="n">
        <v>255</v>
      </c>
    </row>
    <row r="71" customFormat="false" ht="14" hidden="false" customHeight="false" outlineLevel="0" collapsed="false">
      <c r="A71" s="1" t="s">
        <v>1174</v>
      </c>
      <c r="B71" s="1" t="s">
        <v>1162</v>
      </c>
      <c r="C71" s="1" t="s">
        <v>1040</v>
      </c>
      <c r="D71" s="1" t="s">
        <v>1138</v>
      </c>
      <c r="E71" s="1" t="s">
        <v>1177</v>
      </c>
      <c r="F71" s="1" t="s">
        <v>1178</v>
      </c>
      <c r="G71" s="1" t="s">
        <v>1044</v>
      </c>
      <c r="H71" s="1" t="s">
        <v>1165</v>
      </c>
      <c r="I71" s="1" t="s">
        <v>32</v>
      </c>
      <c r="J71" s="15" t="n">
        <v>249</v>
      </c>
      <c r="K71" s="3" t="n">
        <f aca="false">(L71/J71-1)*-1</f>
        <v>0.200803212851406</v>
      </c>
      <c r="L71" s="15" t="n">
        <v>199</v>
      </c>
    </row>
    <row r="72" customFormat="false" ht="14" hidden="false" customHeight="false" outlineLevel="0" collapsed="false">
      <c r="A72" s="1" t="s">
        <v>1174</v>
      </c>
      <c r="B72" s="1" t="s">
        <v>1166</v>
      </c>
      <c r="C72" s="1" t="s">
        <v>1040</v>
      </c>
      <c r="D72" s="1" t="s">
        <v>1138</v>
      </c>
      <c r="E72" s="1" t="s">
        <v>1177</v>
      </c>
      <c r="F72" s="1" t="s">
        <v>1178</v>
      </c>
      <c r="G72" s="1" t="s">
        <v>1044</v>
      </c>
      <c r="H72" s="1" t="s">
        <v>1165</v>
      </c>
      <c r="I72" s="1" t="s">
        <v>32</v>
      </c>
      <c r="J72" s="15" t="n">
        <v>249</v>
      </c>
      <c r="K72" s="3" t="n">
        <f aca="false">(L72/J72-1)*-1</f>
        <v>0.180722891566265</v>
      </c>
      <c r="L72" s="15" t="n">
        <v>204</v>
      </c>
    </row>
    <row r="73" customFormat="false" ht="14" hidden="false" customHeight="false" outlineLevel="0" collapsed="false">
      <c r="A73" s="1" t="s">
        <v>1174</v>
      </c>
      <c r="B73" s="1" t="s">
        <v>1167</v>
      </c>
      <c r="C73" s="1" t="s">
        <v>1040</v>
      </c>
      <c r="D73" s="1" t="s">
        <v>1138</v>
      </c>
      <c r="E73" s="1" t="s">
        <v>1177</v>
      </c>
      <c r="F73" s="1" t="s">
        <v>1178</v>
      </c>
      <c r="G73" s="1" t="s">
        <v>1044</v>
      </c>
      <c r="H73" s="1" t="s">
        <v>1165</v>
      </c>
      <c r="I73" s="1" t="s">
        <v>32</v>
      </c>
      <c r="J73" s="15" t="n">
        <v>249</v>
      </c>
      <c r="K73" s="3" t="n">
        <f aca="false">(L73/J73-1)*-1</f>
        <v>0.220883534136546</v>
      </c>
      <c r="L73" s="15" t="n">
        <v>194</v>
      </c>
    </row>
    <row r="74" customFormat="false" ht="14" hidden="false" customHeight="false" outlineLevel="0" collapsed="false">
      <c r="A74" s="1" t="s">
        <v>1174</v>
      </c>
      <c r="B74" s="1" t="s">
        <v>1162</v>
      </c>
      <c r="C74" s="1" t="s">
        <v>1040</v>
      </c>
      <c r="D74" s="1" t="s">
        <v>195</v>
      </c>
      <c r="E74" s="1" t="s">
        <v>1179</v>
      </c>
      <c r="F74" s="1" t="s">
        <v>1180</v>
      </c>
      <c r="G74" s="1" t="s">
        <v>1044</v>
      </c>
      <c r="H74" s="1" t="s">
        <v>1062</v>
      </c>
      <c r="I74" s="1" t="s">
        <v>32</v>
      </c>
      <c r="J74" s="15" t="n">
        <v>169</v>
      </c>
      <c r="K74" s="3" t="n">
        <f aca="false">(L74/J74-1)*-1</f>
        <v>0.230769230769231</v>
      </c>
      <c r="L74" s="15" t="n">
        <v>130</v>
      </c>
    </row>
    <row r="75" customFormat="false" ht="14" hidden="false" customHeight="false" outlineLevel="0" collapsed="false">
      <c r="A75" s="1" t="s">
        <v>1174</v>
      </c>
      <c r="B75" s="1" t="s">
        <v>1166</v>
      </c>
      <c r="C75" s="1" t="s">
        <v>1040</v>
      </c>
      <c r="D75" s="1" t="s">
        <v>195</v>
      </c>
      <c r="E75" s="1" t="s">
        <v>1179</v>
      </c>
      <c r="F75" s="1" t="s">
        <v>1180</v>
      </c>
      <c r="G75" s="1" t="s">
        <v>1044</v>
      </c>
      <c r="H75" s="1" t="s">
        <v>1062</v>
      </c>
      <c r="I75" s="1" t="s">
        <v>32</v>
      </c>
      <c r="J75" s="15" t="n">
        <v>169</v>
      </c>
      <c r="K75" s="3" t="n">
        <f aca="false">(L75/J75-1)*-1</f>
        <v>0.189349112426035</v>
      </c>
      <c r="L75" s="15" t="n">
        <v>137</v>
      </c>
    </row>
    <row r="76" customFormat="false" ht="14" hidden="false" customHeight="false" outlineLevel="0" collapsed="false">
      <c r="A76" s="1" t="s">
        <v>1174</v>
      </c>
      <c r="B76" s="1" t="s">
        <v>1167</v>
      </c>
      <c r="C76" s="1" t="s">
        <v>1040</v>
      </c>
      <c r="D76" s="1" t="s">
        <v>195</v>
      </c>
      <c r="E76" s="1" t="s">
        <v>1179</v>
      </c>
      <c r="F76" s="1" t="s">
        <v>1180</v>
      </c>
      <c r="G76" s="1" t="s">
        <v>1044</v>
      </c>
      <c r="H76" s="1" t="s">
        <v>1062</v>
      </c>
      <c r="I76" s="1" t="s">
        <v>32</v>
      </c>
      <c r="J76" s="15" t="n">
        <v>169</v>
      </c>
      <c r="K76" s="3" t="n">
        <f aca="false">(L76/J76-1)*-1</f>
        <v>0.245562130177515</v>
      </c>
      <c r="L76" s="15" t="n">
        <v>127.5</v>
      </c>
    </row>
    <row r="77" customFormat="false" ht="14" hidden="false" customHeight="false" outlineLevel="0" collapsed="false">
      <c r="A77" s="1" t="s">
        <v>1174</v>
      </c>
      <c r="B77" s="1" t="s">
        <v>1162</v>
      </c>
      <c r="C77" s="1" t="s">
        <v>1040</v>
      </c>
      <c r="D77" s="1" t="s">
        <v>1138</v>
      </c>
      <c r="E77" s="1" t="s">
        <v>1181</v>
      </c>
      <c r="F77" s="1" t="s">
        <v>1182</v>
      </c>
      <c r="G77" s="1" t="s">
        <v>1044</v>
      </c>
      <c r="H77" s="1" t="s">
        <v>1062</v>
      </c>
      <c r="I77" s="1" t="s">
        <v>32</v>
      </c>
      <c r="J77" s="15" t="n">
        <v>129</v>
      </c>
      <c r="K77" s="3" t="n">
        <f aca="false">(L77/J77-1)*-1</f>
        <v>0.228682170542636</v>
      </c>
      <c r="L77" s="15" t="n">
        <v>99.5</v>
      </c>
    </row>
    <row r="78" customFormat="false" ht="14" hidden="false" customHeight="false" outlineLevel="0" collapsed="false">
      <c r="A78" s="1" t="s">
        <v>1174</v>
      </c>
      <c r="B78" s="1" t="s">
        <v>1166</v>
      </c>
      <c r="C78" s="1" t="s">
        <v>1040</v>
      </c>
      <c r="D78" s="1" t="s">
        <v>1138</v>
      </c>
      <c r="E78" s="1" t="s">
        <v>1181</v>
      </c>
      <c r="F78" s="1" t="s">
        <v>1182</v>
      </c>
      <c r="G78" s="1" t="s">
        <v>1044</v>
      </c>
      <c r="H78" s="1" t="s">
        <v>1062</v>
      </c>
      <c r="I78" s="1" t="s">
        <v>32</v>
      </c>
      <c r="J78" s="15" t="n">
        <v>129</v>
      </c>
      <c r="K78" s="3" t="n">
        <f aca="false">(L78/J78-1)*-1</f>
        <v>0.209302325581395</v>
      </c>
      <c r="L78" s="15" t="n">
        <v>102</v>
      </c>
    </row>
    <row r="79" customFormat="false" ht="14" hidden="false" customHeight="false" outlineLevel="0" collapsed="false">
      <c r="A79" s="1" t="s">
        <v>1174</v>
      </c>
      <c r="B79" s="1" t="s">
        <v>1167</v>
      </c>
      <c r="C79" s="1" t="s">
        <v>1040</v>
      </c>
      <c r="D79" s="1" t="s">
        <v>1138</v>
      </c>
      <c r="E79" s="1" t="s">
        <v>1181</v>
      </c>
      <c r="F79" s="1" t="s">
        <v>1182</v>
      </c>
      <c r="G79" s="1" t="s">
        <v>1044</v>
      </c>
      <c r="H79" s="1" t="s">
        <v>1062</v>
      </c>
      <c r="I79" s="1" t="s">
        <v>32</v>
      </c>
      <c r="J79" s="15" t="n">
        <v>129</v>
      </c>
      <c r="K79" s="3" t="n">
        <f aca="false">(L79/J79-1)*-1</f>
        <v>0.248062015503876</v>
      </c>
      <c r="L79" s="15" t="n">
        <v>97</v>
      </c>
    </row>
    <row r="80" customFormat="false" ht="14" hidden="false" customHeight="false" outlineLevel="0" collapsed="false">
      <c r="A80" s="1" t="s">
        <v>1039</v>
      </c>
      <c r="B80" s="1" t="s">
        <v>20</v>
      </c>
      <c r="C80" s="11" t="s">
        <v>1183</v>
      </c>
      <c r="D80" s="11" t="s">
        <v>1184</v>
      </c>
      <c r="E80" s="1" t="s">
        <v>1185</v>
      </c>
      <c r="F80" s="1" t="s">
        <v>1186</v>
      </c>
      <c r="G80" s="1" t="s">
        <v>1187</v>
      </c>
      <c r="H80" s="1" t="s">
        <v>1187</v>
      </c>
      <c r="I80" s="1" t="s">
        <v>1188</v>
      </c>
      <c r="J80" s="15" t="n">
        <v>1349</v>
      </c>
      <c r="K80" s="3" t="n">
        <f aca="false">(L80/J80-1)*-1</f>
        <v>0.296515937731653</v>
      </c>
      <c r="L80" s="2" t="n">
        <v>949</v>
      </c>
    </row>
    <row r="81" customFormat="false" ht="14" hidden="false" customHeight="true" outlineLevel="0" collapsed="false">
      <c r="A81" s="1" t="s">
        <v>1039</v>
      </c>
      <c r="B81" s="1" t="s">
        <v>20</v>
      </c>
      <c r="C81" s="1" t="s">
        <v>1189</v>
      </c>
      <c r="D81" s="1" t="s">
        <v>1190</v>
      </c>
      <c r="E81" s="1" t="s">
        <v>1191</v>
      </c>
      <c r="F81" s="1" t="s">
        <v>1192</v>
      </c>
      <c r="G81" s="1" t="s">
        <v>939</v>
      </c>
      <c r="H81" s="1" t="s">
        <v>1193</v>
      </c>
      <c r="I81" s="1" t="s">
        <v>1188</v>
      </c>
      <c r="J81" s="15" t="n">
        <v>249</v>
      </c>
      <c r="K81" s="3" t="n">
        <f aca="false">(L81/J81-1)*-1</f>
        <v>0.200803212851406</v>
      </c>
      <c r="L81" s="15" t="n">
        <v>199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CFF"/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1" width="12.98"/>
    <col collapsed="false" customWidth="true" hidden="false" outlineLevel="0" max="2" min="2" style="11" width="9.93"/>
    <col collapsed="false" customWidth="true" hidden="false" outlineLevel="0" max="3" min="3" style="11" width="16.16"/>
    <col collapsed="false" customWidth="true" hidden="false" outlineLevel="0" max="4" min="4" style="1" width="20.8"/>
    <col collapsed="false" customWidth="true" hidden="false" outlineLevel="0" max="5" min="5" style="11" width="12.98"/>
    <col collapsed="false" customWidth="true" hidden="false" outlineLevel="0" max="6" min="6" style="11" width="64.65"/>
    <col collapsed="false" customWidth="true" hidden="false" outlineLevel="0" max="7" min="7" style="11" width="6.88"/>
    <col collapsed="false" customWidth="true" hidden="false" outlineLevel="0" max="8" min="8" style="11" width="7.94"/>
    <col collapsed="false" customWidth="true" hidden="false" outlineLevel="0" max="9" min="9" style="11" width="17.75"/>
    <col collapsed="false" customWidth="true" hidden="false" outlineLevel="0" max="10" min="10" style="26" width="26.36"/>
    <col collapsed="false" customWidth="true" hidden="false" outlineLevel="0" max="11" min="11" style="11" width="21.33"/>
    <col collapsed="false" customWidth="true" hidden="false" outlineLevel="0" max="12" min="12" style="11" width="18.54"/>
    <col collapsed="false" customWidth="true" hidden="false" outlineLevel="0" max="2048" min="13" style="11" width="8.87"/>
  </cols>
  <sheetData>
    <row r="1" customFormat="false" ht="15" hidden="false" customHeight="false" outlineLevel="0" collapsed="false">
      <c r="A1" s="27" t="s">
        <v>0</v>
      </c>
      <c r="B1" s="27" t="s">
        <v>1</v>
      </c>
      <c r="C1" s="27" t="s">
        <v>2</v>
      </c>
      <c r="D1" s="23" t="s">
        <v>3</v>
      </c>
      <c r="E1" s="27" t="s">
        <v>4</v>
      </c>
      <c r="F1" s="27" t="s">
        <v>1034</v>
      </c>
      <c r="G1" s="27" t="s">
        <v>6</v>
      </c>
      <c r="H1" s="27" t="s">
        <v>11</v>
      </c>
      <c r="I1" s="27" t="s">
        <v>1036</v>
      </c>
      <c r="J1" s="28" t="s">
        <v>1037</v>
      </c>
      <c r="K1" s="27" t="s">
        <v>1194</v>
      </c>
      <c r="L1" s="27" t="s">
        <v>1195</v>
      </c>
    </row>
    <row r="2" customFormat="false" ht="15" hidden="false" customHeight="false" outlineLevel="0" collapsed="false">
      <c r="A2" s="11" t="s">
        <v>1196</v>
      </c>
      <c r="B2" s="11" t="s">
        <v>20</v>
      </c>
      <c r="C2" s="11" t="s">
        <v>1197</v>
      </c>
      <c r="D2" s="1" t="s">
        <v>1198</v>
      </c>
      <c r="F2" s="11" t="s">
        <v>1199</v>
      </c>
      <c r="I2" s="22"/>
      <c r="J2" s="26" t="n">
        <v>0.3</v>
      </c>
      <c r="K2" s="22"/>
      <c r="L2" s="22"/>
    </row>
    <row r="3" customFormat="false" ht="15" hidden="false" customHeight="false" outlineLevel="0" collapsed="false">
      <c r="A3" s="11" t="s">
        <v>1196</v>
      </c>
      <c r="B3" s="11" t="s">
        <v>20</v>
      </c>
      <c r="C3" s="11" t="s">
        <v>1200</v>
      </c>
      <c r="D3" s="1" t="s">
        <v>1201</v>
      </c>
      <c r="F3" s="11" t="s">
        <v>1202</v>
      </c>
      <c r="I3" s="22"/>
      <c r="J3" s="26" t="n">
        <v>0.2</v>
      </c>
      <c r="K3" s="22"/>
      <c r="L3" s="22"/>
    </row>
    <row r="4" customFormat="false" ht="15" hidden="false" customHeight="false" outlineLevel="0" collapsed="false">
      <c r="A4" s="11" t="s">
        <v>369</v>
      </c>
      <c r="B4" s="11" t="s">
        <v>20</v>
      </c>
      <c r="C4" s="11" t="s">
        <v>1203</v>
      </c>
      <c r="D4" s="1" t="s">
        <v>1204</v>
      </c>
      <c r="E4" s="11" t="s">
        <v>1205</v>
      </c>
      <c r="F4" s="11" t="s">
        <v>1206</v>
      </c>
      <c r="G4" s="11" t="s">
        <v>1207</v>
      </c>
      <c r="H4" s="11" t="s">
        <v>56</v>
      </c>
      <c r="I4" s="22" t="n">
        <v>3718.8</v>
      </c>
      <c r="J4" s="26" t="n">
        <f aca="false">(K4/I4-1)*-1</f>
        <v>0.435570614176616</v>
      </c>
      <c r="K4" s="22" t="n">
        <v>2099</v>
      </c>
      <c r="L4" s="22"/>
    </row>
    <row r="5" customFormat="false" ht="15" hidden="false" customHeight="false" outlineLevel="0" collapsed="false">
      <c r="A5" s="11" t="s">
        <v>369</v>
      </c>
      <c r="B5" s="11" t="s">
        <v>20</v>
      </c>
      <c r="C5" s="11" t="s">
        <v>1203</v>
      </c>
      <c r="D5" s="1" t="s">
        <v>1208</v>
      </c>
      <c r="E5" s="11" t="s">
        <v>1209</v>
      </c>
      <c r="F5" s="11" t="s">
        <v>1210</v>
      </c>
      <c r="G5" s="11" t="s">
        <v>1207</v>
      </c>
      <c r="H5" s="11" t="s">
        <v>56</v>
      </c>
      <c r="I5" s="22" t="n">
        <v>887.29</v>
      </c>
      <c r="J5" s="26" t="n">
        <f aca="false">(K5/I5-1)*-1</f>
        <v>0.099505235041531</v>
      </c>
      <c r="K5" s="22" t="n">
        <v>799</v>
      </c>
      <c r="L5" s="22"/>
    </row>
    <row r="6" customFormat="false" ht="15" hidden="false" customHeight="false" outlineLevel="0" collapsed="false">
      <c r="A6" s="11" t="s">
        <v>369</v>
      </c>
      <c r="B6" s="11" t="s">
        <v>20</v>
      </c>
      <c r="C6" s="11" t="s">
        <v>1211</v>
      </c>
      <c r="D6" s="1" t="s">
        <v>1212</v>
      </c>
      <c r="E6" s="11" t="s">
        <v>1213</v>
      </c>
      <c r="F6" s="11" t="s">
        <v>1214</v>
      </c>
      <c r="G6" s="11" t="s">
        <v>1207</v>
      </c>
      <c r="H6" s="11" t="s">
        <v>32</v>
      </c>
      <c r="I6" s="22" t="n">
        <v>848.47</v>
      </c>
      <c r="J6" s="26" t="n">
        <f aca="false">(K6/I6-1)*-1</f>
        <v>0.187950074840595</v>
      </c>
      <c r="K6" s="22" t="n">
        <v>689</v>
      </c>
      <c r="L6" s="22"/>
    </row>
    <row r="7" customFormat="false" ht="15" hidden="false" customHeight="false" outlineLevel="0" collapsed="false">
      <c r="A7" s="11" t="s">
        <v>369</v>
      </c>
      <c r="B7" s="11" t="s">
        <v>20</v>
      </c>
      <c r="C7" s="11" t="s">
        <v>1203</v>
      </c>
      <c r="D7" s="1" t="s">
        <v>1215</v>
      </c>
      <c r="E7" s="11" t="s">
        <v>1216</v>
      </c>
      <c r="F7" s="11" t="s">
        <v>1217</v>
      </c>
      <c r="G7" s="11" t="s">
        <v>1207</v>
      </c>
      <c r="H7" s="11" t="s">
        <v>56</v>
      </c>
      <c r="I7" s="22" t="n">
        <v>1149</v>
      </c>
      <c r="J7" s="26" t="n">
        <f aca="false">(K7/I7-1)*-1</f>
        <v>0.130548302872063</v>
      </c>
      <c r="K7" s="22" t="n">
        <v>999</v>
      </c>
      <c r="L7" s="22"/>
    </row>
    <row r="8" customFormat="false" ht="15" hidden="false" customHeight="false" outlineLevel="0" collapsed="false">
      <c r="A8" s="11" t="s">
        <v>369</v>
      </c>
      <c r="B8" s="11" t="s">
        <v>20</v>
      </c>
      <c r="C8" s="11" t="s">
        <v>1203</v>
      </c>
      <c r="D8" s="1" t="s">
        <v>1218</v>
      </c>
      <c r="E8" s="11" t="s">
        <v>1219</v>
      </c>
      <c r="F8" s="11" t="s">
        <v>1220</v>
      </c>
      <c r="G8" s="11" t="s">
        <v>1207</v>
      </c>
      <c r="H8" s="11" t="s">
        <v>32</v>
      </c>
      <c r="I8" s="22" t="n">
        <v>688.53</v>
      </c>
      <c r="J8" s="26" t="n">
        <f aca="false">(K8/I8-1)*-1</f>
        <v>0.144554340406373</v>
      </c>
      <c r="K8" s="29" t="n">
        <v>589</v>
      </c>
      <c r="L8" s="29"/>
    </row>
    <row r="9" customFormat="false" ht="15" hidden="false" customHeight="false" outlineLevel="0" collapsed="false">
      <c r="A9" s="11" t="s">
        <v>369</v>
      </c>
      <c r="B9" s="11" t="s">
        <v>20</v>
      </c>
      <c r="C9" s="11" t="s">
        <v>1203</v>
      </c>
      <c r="D9" s="1" t="s">
        <v>1208</v>
      </c>
      <c r="E9" s="11" t="s">
        <v>1221</v>
      </c>
      <c r="F9" s="11" t="s">
        <v>1222</v>
      </c>
      <c r="G9" s="11" t="s">
        <v>1207</v>
      </c>
      <c r="H9" s="11" t="s">
        <v>56</v>
      </c>
      <c r="I9" s="22" t="n">
        <v>1856</v>
      </c>
      <c r="J9" s="26" t="n">
        <f aca="false">(K9/I9-1)*-1</f>
        <v>0.30010775862069</v>
      </c>
      <c r="K9" s="22" t="n">
        <v>1299</v>
      </c>
      <c r="L9" s="22"/>
    </row>
    <row r="10" customFormat="false" ht="15" hidden="false" customHeight="false" outlineLevel="0" collapsed="false">
      <c r="A10" s="11" t="s">
        <v>369</v>
      </c>
      <c r="B10" s="11" t="s">
        <v>20</v>
      </c>
      <c r="C10" s="11" t="s">
        <v>1223</v>
      </c>
      <c r="D10" s="1" t="s">
        <v>1224</v>
      </c>
      <c r="E10" s="11" t="s">
        <v>1216</v>
      </c>
      <c r="F10" s="11" t="s">
        <v>1217</v>
      </c>
      <c r="G10" s="11" t="s">
        <v>1207</v>
      </c>
      <c r="H10" s="11" t="s">
        <v>56</v>
      </c>
      <c r="I10" s="22" t="n">
        <v>1149</v>
      </c>
      <c r="J10" s="26" t="n">
        <f aca="false">(K10/I10-1)*-1</f>
        <v>0.191470844212359</v>
      </c>
      <c r="K10" s="22" t="n">
        <v>929</v>
      </c>
      <c r="L10" s="30" t="n">
        <f aca="false">SUM(K10:K12)</f>
        <v>3409</v>
      </c>
    </row>
    <row r="11" customFormat="false" ht="15" hidden="false" customHeight="false" outlineLevel="0" collapsed="false">
      <c r="A11" s="11" t="s">
        <v>369</v>
      </c>
      <c r="B11" s="11" t="s">
        <v>20</v>
      </c>
      <c r="C11" s="11" t="s">
        <v>1223</v>
      </c>
      <c r="D11" s="1" t="s">
        <v>1224</v>
      </c>
      <c r="E11" s="11" t="s">
        <v>1219</v>
      </c>
      <c r="F11" s="11" t="s">
        <v>1220</v>
      </c>
      <c r="G11" s="11" t="s">
        <v>1207</v>
      </c>
      <c r="H11" s="11" t="s">
        <v>32</v>
      </c>
      <c r="I11" s="22" t="n">
        <v>688.53</v>
      </c>
      <c r="J11" s="26" t="n">
        <f aca="false">(K11/I11-1)*-1</f>
        <v>0.302862620365126</v>
      </c>
      <c r="K11" s="22" t="n">
        <v>480</v>
      </c>
      <c r="L11" s="30"/>
    </row>
    <row r="12" customFormat="false" ht="15" hidden="false" customHeight="false" outlineLevel="0" collapsed="false">
      <c r="A12" s="11" t="s">
        <v>369</v>
      </c>
      <c r="B12" s="11" t="s">
        <v>20</v>
      </c>
      <c r="C12" s="11" t="s">
        <v>1223</v>
      </c>
      <c r="D12" s="1" t="s">
        <v>1224</v>
      </c>
      <c r="E12" s="11" t="s">
        <v>1205</v>
      </c>
      <c r="F12" s="11" t="s">
        <v>1206</v>
      </c>
      <c r="G12" s="11" t="s">
        <v>1207</v>
      </c>
      <c r="H12" s="11" t="s">
        <v>56</v>
      </c>
      <c r="I12" s="22" t="n">
        <v>3718.8</v>
      </c>
      <c r="J12" s="26" t="n">
        <f aca="false">(K12/I12-1)*-1</f>
        <v>0.462192104980101</v>
      </c>
      <c r="K12" s="22" t="n">
        <v>2000</v>
      </c>
      <c r="L12" s="30"/>
    </row>
    <row r="13" customFormat="false" ht="15" hidden="false" customHeight="false" outlineLevel="0" collapsed="false">
      <c r="A13" s="11" t="s">
        <v>369</v>
      </c>
      <c r="B13" s="11" t="s">
        <v>20</v>
      </c>
      <c r="C13" s="11" t="s">
        <v>1223</v>
      </c>
      <c r="D13" s="1" t="s">
        <v>1225</v>
      </c>
      <c r="E13" s="11" t="s">
        <v>1216</v>
      </c>
      <c r="F13" s="11" t="s">
        <v>1217</v>
      </c>
      <c r="G13" s="11" t="s">
        <v>1207</v>
      </c>
      <c r="H13" s="11" t="s">
        <v>56</v>
      </c>
      <c r="I13" s="22" t="n">
        <v>1149</v>
      </c>
      <c r="J13" s="26" t="n">
        <f aca="false">(K13/I13-1)*-1</f>
        <v>0.234986945169713</v>
      </c>
      <c r="K13" s="22" t="n">
        <v>879</v>
      </c>
      <c r="L13" s="30" t="n">
        <v>1429</v>
      </c>
    </row>
    <row r="14" customFormat="false" ht="15" hidden="false" customHeight="false" outlineLevel="0" collapsed="false">
      <c r="A14" s="11" t="s">
        <v>369</v>
      </c>
      <c r="B14" s="11" t="s">
        <v>20</v>
      </c>
      <c r="C14" s="11" t="s">
        <v>1223</v>
      </c>
      <c r="D14" s="1" t="s">
        <v>1225</v>
      </c>
      <c r="E14" s="11" t="s">
        <v>1219</v>
      </c>
      <c r="F14" s="11" t="s">
        <v>1220</v>
      </c>
      <c r="G14" s="11" t="s">
        <v>1207</v>
      </c>
      <c r="H14" s="11" t="s">
        <v>32</v>
      </c>
      <c r="I14" s="22" t="n">
        <v>688.53</v>
      </c>
      <c r="J14" s="26" t="n">
        <f aca="false">(K14/I14-1)*-1</f>
        <v>0.201196752501707</v>
      </c>
      <c r="K14" s="22" t="n">
        <v>550</v>
      </c>
      <c r="L14" s="30"/>
    </row>
    <row r="15" customFormat="false" ht="15" hidden="false" customHeight="false" outlineLevel="0" collapsed="false">
      <c r="A15" s="11" t="s">
        <v>369</v>
      </c>
      <c r="B15" s="11" t="s">
        <v>20</v>
      </c>
      <c r="C15" s="11" t="s">
        <v>1226</v>
      </c>
      <c r="D15" s="1" t="s">
        <v>1227</v>
      </c>
      <c r="E15" s="11" t="s">
        <v>1228</v>
      </c>
      <c r="F15" s="11" t="s">
        <v>1229</v>
      </c>
      <c r="G15" s="11" t="s">
        <v>1207</v>
      </c>
      <c r="H15" s="11" t="s">
        <v>1230</v>
      </c>
      <c r="I15" s="22" t="n">
        <v>2219</v>
      </c>
      <c r="J15" s="26" t="n">
        <f aca="false">(K15/I15-1)*-1</f>
        <v>0.14420910319964</v>
      </c>
      <c r="K15" s="22" t="n">
        <v>1899</v>
      </c>
      <c r="L15" s="30" t="n">
        <v>2399</v>
      </c>
    </row>
    <row r="16" customFormat="false" ht="15" hidden="false" customHeight="false" outlineLevel="0" collapsed="false">
      <c r="A16" s="11" t="s">
        <v>369</v>
      </c>
      <c r="B16" s="11" t="s">
        <v>20</v>
      </c>
      <c r="C16" s="11" t="s">
        <v>1231</v>
      </c>
      <c r="D16" s="1" t="s">
        <v>1227</v>
      </c>
      <c r="E16" s="11" t="s">
        <v>1219</v>
      </c>
      <c r="F16" s="11" t="s">
        <v>1220</v>
      </c>
      <c r="G16" s="11" t="s">
        <v>1207</v>
      </c>
      <c r="H16" s="11" t="s">
        <v>32</v>
      </c>
      <c r="I16" s="22" t="n">
        <v>688.53</v>
      </c>
      <c r="J16" s="26" t="n">
        <f aca="false">(K16/I16-1)*-1</f>
        <v>0.273815229547006</v>
      </c>
      <c r="K16" s="22" t="n">
        <v>500</v>
      </c>
      <c r="L16" s="30"/>
    </row>
    <row r="17" customFormat="false" ht="15" hidden="false" customHeight="false" outlineLevel="0" collapsed="false">
      <c r="A17" s="11" t="s">
        <v>369</v>
      </c>
      <c r="B17" s="11" t="s">
        <v>20</v>
      </c>
      <c r="C17" s="11" t="s">
        <v>1223</v>
      </c>
      <c r="D17" s="1" t="s">
        <v>1232</v>
      </c>
      <c r="E17" s="11" t="s">
        <v>1205</v>
      </c>
      <c r="F17" s="11" t="s">
        <v>1206</v>
      </c>
      <c r="G17" s="11" t="s">
        <v>1207</v>
      </c>
      <c r="H17" s="11" t="s">
        <v>56</v>
      </c>
      <c r="I17" s="22" t="n">
        <v>3718.8</v>
      </c>
      <c r="J17" s="26" t="n">
        <f aca="false">(K17/I17-1)*-1</f>
        <v>0.462192104980101</v>
      </c>
      <c r="K17" s="22" t="n">
        <v>2000</v>
      </c>
      <c r="L17" s="30" t="n">
        <f aca="false">SUM(K17:K18)</f>
        <v>3279</v>
      </c>
    </row>
    <row r="18" customFormat="false" ht="15" hidden="false" customHeight="false" outlineLevel="0" collapsed="false">
      <c r="A18" s="11" t="s">
        <v>369</v>
      </c>
      <c r="B18" s="11" t="s">
        <v>20</v>
      </c>
      <c r="C18" s="11" t="s">
        <v>1223</v>
      </c>
      <c r="D18" s="1" t="s">
        <v>1232</v>
      </c>
      <c r="E18" s="11" t="s">
        <v>1221</v>
      </c>
      <c r="F18" s="11" t="s">
        <v>1222</v>
      </c>
      <c r="G18" s="11" t="s">
        <v>1207</v>
      </c>
      <c r="H18" s="11" t="s">
        <v>32</v>
      </c>
      <c r="I18" s="22" t="n">
        <v>1856</v>
      </c>
      <c r="J18" s="26" t="n">
        <f aca="false">(K18/I18-1)*-1</f>
        <v>0.310883620689655</v>
      </c>
      <c r="K18" s="22" t="n">
        <v>1279</v>
      </c>
      <c r="L18" s="30"/>
    </row>
    <row r="19" customFormat="false" ht="15" hidden="false" customHeight="false" outlineLevel="0" collapsed="false">
      <c r="A19" s="11" t="s">
        <v>1196</v>
      </c>
      <c r="B19" s="11" t="s">
        <v>20</v>
      </c>
      <c r="C19" s="11" t="s">
        <v>1233</v>
      </c>
      <c r="D19" s="1" t="s">
        <v>1234</v>
      </c>
      <c r="E19" s="11" t="n">
        <v>50106043</v>
      </c>
      <c r="F19" s="11" t="s">
        <v>1235</v>
      </c>
      <c r="G19" s="11" t="s">
        <v>1207</v>
      </c>
      <c r="H19" s="11" t="s">
        <v>28</v>
      </c>
      <c r="I19" s="22" t="n">
        <v>979</v>
      </c>
      <c r="K19" s="30" t="n">
        <v>2799</v>
      </c>
      <c r="L19" s="30" t="n">
        <v>2799</v>
      </c>
    </row>
    <row r="20" customFormat="false" ht="15" hidden="false" customHeight="false" outlineLevel="0" collapsed="false">
      <c r="A20" s="11" t="s">
        <v>1196</v>
      </c>
      <c r="B20" s="11" t="s">
        <v>20</v>
      </c>
      <c r="C20" s="11" t="s">
        <v>1233</v>
      </c>
      <c r="D20" s="1" t="s">
        <v>1234</v>
      </c>
      <c r="E20" s="11" t="n">
        <v>51455042</v>
      </c>
      <c r="F20" s="11" t="s">
        <v>1236</v>
      </c>
      <c r="G20" s="11" t="s">
        <v>1207</v>
      </c>
      <c r="H20" s="11" t="s">
        <v>28</v>
      </c>
      <c r="I20" s="22" t="n">
        <v>1437</v>
      </c>
      <c r="K20" s="30"/>
      <c r="L20" s="30"/>
    </row>
    <row r="21" customFormat="false" ht="15" hidden="false" customHeight="false" outlineLevel="0" collapsed="false">
      <c r="A21" s="11" t="s">
        <v>1196</v>
      </c>
      <c r="B21" s="11" t="s">
        <v>20</v>
      </c>
      <c r="C21" s="11" t="s">
        <v>1233</v>
      </c>
      <c r="D21" s="1" t="s">
        <v>1234</v>
      </c>
      <c r="E21" s="11" t="n">
        <v>52010042</v>
      </c>
      <c r="F21" s="11" t="s">
        <v>1237</v>
      </c>
      <c r="G21" s="11" t="s">
        <v>1207</v>
      </c>
      <c r="H21" s="11" t="s">
        <v>28</v>
      </c>
      <c r="I21" s="22" t="n">
        <v>1321</v>
      </c>
      <c r="K21" s="30"/>
      <c r="L21" s="30"/>
    </row>
    <row r="22" customFormat="false" ht="15" hidden="false" customHeight="false" outlineLevel="0" collapsed="false">
      <c r="A22" s="11" t="s">
        <v>1196</v>
      </c>
      <c r="B22" s="11" t="s">
        <v>20</v>
      </c>
      <c r="C22" s="11" t="s">
        <v>1233</v>
      </c>
      <c r="D22" s="1" t="s">
        <v>1234</v>
      </c>
      <c r="E22" s="11" t="n">
        <v>53010042</v>
      </c>
      <c r="F22" s="11" t="s">
        <v>1238</v>
      </c>
      <c r="G22" s="11" t="s">
        <v>1207</v>
      </c>
      <c r="H22" s="11" t="s">
        <v>28</v>
      </c>
      <c r="I22" s="22" t="n">
        <v>915</v>
      </c>
      <c r="K22" s="30"/>
      <c r="L22" s="30"/>
    </row>
    <row r="23" customFormat="false" ht="15" hidden="false" customHeight="false" outlineLevel="0" collapsed="false">
      <c r="A23" s="11" t="s">
        <v>1196</v>
      </c>
      <c r="B23" s="11" t="s">
        <v>20</v>
      </c>
      <c r="C23" s="11" t="s">
        <v>1233</v>
      </c>
      <c r="D23" s="1" t="s">
        <v>1239</v>
      </c>
      <c r="E23" s="11" t="n">
        <v>50455022</v>
      </c>
      <c r="F23" s="11" t="s">
        <v>1240</v>
      </c>
      <c r="G23" s="11" t="s">
        <v>1207</v>
      </c>
      <c r="H23" s="11" t="s">
        <v>56</v>
      </c>
      <c r="I23" s="22" t="n">
        <v>2052</v>
      </c>
      <c r="K23" s="30" t="n">
        <v>2699</v>
      </c>
      <c r="L23" s="30" t="n">
        <v>2699</v>
      </c>
    </row>
    <row r="24" customFormat="false" ht="15" hidden="false" customHeight="false" outlineLevel="0" collapsed="false">
      <c r="A24" s="11" t="s">
        <v>1196</v>
      </c>
      <c r="B24" s="11" t="s">
        <v>20</v>
      </c>
      <c r="C24" s="11" t="s">
        <v>1233</v>
      </c>
      <c r="D24" s="1" t="s">
        <v>1239</v>
      </c>
      <c r="E24" s="11" t="n">
        <v>52009021</v>
      </c>
      <c r="F24" s="11" t="s">
        <v>1241</v>
      </c>
      <c r="G24" s="11" t="s">
        <v>1207</v>
      </c>
      <c r="H24" s="11" t="s">
        <v>56</v>
      </c>
      <c r="I24" s="22" t="n">
        <v>1259</v>
      </c>
      <c r="K24" s="30"/>
      <c r="L24" s="30"/>
    </row>
    <row r="25" customFormat="false" ht="15" hidden="false" customHeight="false" outlineLevel="0" collapsed="false">
      <c r="A25" s="11" t="s">
        <v>1196</v>
      </c>
      <c r="B25" s="11" t="s">
        <v>20</v>
      </c>
      <c r="C25" s="11" t="s">
        <v>1233</v>
      </c>
      <c r="D25" s="1" t="s">
        <v>1239</v>
      </c>
      <c r="E25" s="11" t="s">
        <v>1242</v>
      </c>
      <c r="F25" s="11" t="s">
        <v>1243</v>
      </c>
      <c r="G25" s="11" t="s">
        <v>1207</v>
      </c>
      <c r="H25" s="11" t="s">
        <v>56</v>
      </c>
      <c r="I25" s="22" t="n">
        <v>655</v>
      </c>
      <c r="K25" s="30"/>
      <c r="L25" s="30"/>
    </row>
    <row r="26" customFormat="false" ht="15" hidden="false" customHeight="false" outlineLevel="0" collapsed="false">
      <c r="A26" s="11" t="s">
        <v>1196</v>
      </c>
      <c r="B26" s="11" t="s">
        <v>20</v>
      </c>
      <c r="C26" s="11" t="s">
        <v>1233</v>
      </c>
      <c r="D26" s="1" t="s">
        <v>1239</v>
      </c>
      <c r="E26" s="11" t="n">
        <v>53010022</v>
      </c>
      <c r="F26" s="11" t="s">
        <v>1244</v>
      </c>
      <c r="G26" s="11" t="s">
        <v>1207</v>
      </c>
      <c r="H26" s="11" t="s">
        <v>56</v>
      </c>
      <c r="I26" s="22" t="n">
        <v>875</v>
      </c>
      <c r="K26" s="30"/>
      <c r="L26" s="30"/>
    </row>
    <row r="27" customFormat="false" ht="15" hidden="false" customHeight="false" outlineLevel="0" collapsed="false">
      <c r="A27" s="11" t="s">
        <v>1196</v>
      </c>
      <c r="B27" s="11" t="s">
        <v>20</v>
      </c>
      <c r="C27" s="11" t="s">
        <v>1233</v>
      </c>
      <c r="D27" s="1" t="s">
        <v>1245</v>
      </c>
      <c r="E27" s="11" t="n">
        <v>50083043</v>
      </c>
      <c r="F27" s="11" t="s">
        <v>1246</v>
      </c>
      <c r="G27" s="11" t="s">
        <v>1207</v>
      </c>
      <c r="H27" s="11" t="s">
        <v>28</v>
      </c>
      <c r="I27" s="22" t="n">
        <v>1479</v>
      </c>
      <c r="K27" s="30" t="n">
        <v>1599</v>
      </c>
      <c r="L27" s="30" t="n">
        <v>1599</v>
      </c>
    </row>
    <row r="28" customFormat="false" ht="15" hidden="false" customHeight="false" outlineLevel="0" collapsed="false">
      <c r="A28" s="11" t="s">
        <v>1196</v>
      </c>
      <c r="B28" s="11" t="s">
        <v>20</v>
      </c>
      <c r="C28" s="11" t="s">
        <v>1233</v>
      </c>
      <c r="D28" s="1" t="s">
        <v>1245</v>
      </c>
      <c r="E28" s="11" t="n">
        <v>51453042</v>
      </c>
      <c r="F28" s="11" t="s">
        <v>1247</v>
      </c>
      <c r="G28" s="11" t="s">
        <v>1207</v>
      </c>
      <c r="H28" s="11" t="s">
        <v>28</v>
      </c>
      <c r="I28" s="22" t="n">
        <v>769</v>
      </c>
      <c r="K28" s="30"/>
      <c r="L28" s="30"/>
    </row>
    <row r="29" customFormat="false" ht="15" hidden="false" customHeight="false" outlineLevel="0" collapsed="false">
      <c r="A29" s="11" t="s">
        <v>1196</v>
      </c>
      <c r="B29" s="11" t="s">
        <v>20</v>
      </c>
      <c r="C29" s="11" t="s">
        <v>1233</v>
      </c>
      <c r="D29" s="1" t="s">
        <v>1245</v>
      </c>
      <c r="E29" s="11" t="n">
        <v>52006042</v>
      </c>
      <c r="F29" s="11" t="s">
        <v>1248</v>
      </c>
      <c r="G29" s="11" t="s">
        <v>1207</v>
      </c>
      <c r="H29" s="11" t="s">
        <v>28</v>
      </c>
      <c r="I29" s="22" t="n">
        <v>815</v>
      </c>
      <c r="K29" s="30"/>
      <c r="L29" s="30"/>
    </row>
    <row r="30" customFormat="false" ht="15" hidden="false" customHeight="false" outlineLevel="0" collapsed="false">
      <c r="A30" s="11" t="s">
        <v>1196</v>
      </c>
      <c r="B30" s="11" t="s">
        <v>20</v>
      </c>
      <c r="C30" s="11" t="s">
        <v>1233</v>
      </c>
      <c r="D30" s="1" t="s">
        <v>1204</v>
      </c>
      <c r="E30" s="11" t="s">
        <v>1249</v>
      </c>
      <c r="F30" s="11" t="s">
        <v>1250</v>
      </c>
      <c r="G30" s="11" t="s">
        <v>1207</v>
      </c>
      <c r="H30" s="11" t="s">
        <v>56</v>
      </c>
      <c r="I30" s="22" t="n">
        <v>7314</v>
      </c>
      <c r="J30" s="26" t="n">
        <f aca="false">(K30/I30-1)*-1</f>
        <v>0.466912770030079</v>
      </c>
      <c r="K30" s="22" t="n">
        <v>3899</v>
      </c>
    </row>
    <row r="31" customFormat="false" ht="15" hidden="false" customHeight="false" outlineLevel="0" collapsed="false">
      <c r="A31" s="11" t="s">
        <v>1196</v>
      </c>
      <c r="B31" s="11" t="s">
        <v>20</v>
      </c>
      <c r="C31" s="11" t="s">
        <v>1233</v>
      </c>
      <c r="D31" s="1" t="s">
        <v>1204</v>
      </c>
      <c r="E31" s="11" t="s">
        <v>1251</v>
      </c>
      <c r="F31" s="11" t="s">
        <v>1252</v>
      </c>
      <c r="G31" s="11" t="s">
        <v>1207</v>
      </c>
      <c r="H31" s="11" t="s">
        <v>56</v>
      </c>
      <c r="I31" s="22" t="n">
        <v>6927</v>
      </c>
      <c r="J31" s="26" t="n">
        <f aca="false">(K31/I31-1)*-1</f>
        <v>0.466002598527501</v>
      </c>
      <c r="K31" s="22" t="n">
        <v>3699</v>
      </c>
    </row>
    <row r="32" customFormat="false" ht="15" hidden="false" customHeight="false" outlineLevel="0" collapsed="false">
      <c r="A32" s="11" t="s">
        <v>1196</v>
      </c>
      <c r="B32" s="11" t="s">
        <v>20</v>
      </c>
      <c r="C32" s="11" t="s">
        <v>1233</v>
      </c>
      <c r="D32" s="1" t="s">
        <v>1204</v>
      </c>
      <c r="E32" s="11" t="s">
        <v>1253</v>
      </c>
      <c r="F32" s="11" t="s">
        <v>1254</v>
      </c>
      <c r="G32" s="11" t="s">
        <v>1207</v>
      </c>
      <c r="H32" s="11" t="s">
        <v>56</v>
      </c>
      <c r="I32" s="22" t="n">
        <v>6024</v>
      </c>
      <c r="J32" s="26" t="n">
        <f aca="false">(K32/I32-1)*-1</f>
        <v>0.452357237715804</v>
      </c>
      <c r="K32" s="22" t="n">
        <v>3299</v>
      </c>
    </row>
    <row r="33" customFormat="false" ht="15" hidden="false" customHeight="false" outlineLevel="0" collapsed="false">
      <c r="A33" s="11" t="s">
        <v>1196</v>
      </c>
      <c r="B33" s="11" t="s">
        <v>20</v>
      </c>
      <c r="C33" s="11" t="s">
        <v>1233</v>
      </c>
      <c r="D33" s="1" t="s">
        <v>1204</v>
      </c>
      <c r="E33" s="11" t="s">
        <v>1255</v>
      </c>
      <c r="F33" s="11" t="s">
        <v>1256</v>
      </c>
      <c r="G33" s="11" t="s">
        <v>1207</v>
      </c>
      <c r="H33" s="11" t="s">
        <v>56</v>
      </c>
      <c r="I33" s="22" t="n">
        <v>4777</v>
      </c>
      <c r="J33" s="26" t="n">
        <f aca="false">(K33/I33-1)*-1</f>
        <v>0.581536529202428</v>
      </c>
      <c r="K33" s="22" t="n">
        <v>1999</v>
      </c>
    </row>
    <row r="34" customFormat="false" ht="15" hidden="false" customHeight="false" outlineLevel="0" collapsed="false">
      <c r="A34" s="11" t="s">
        <v>1196</v>
      </c>
      <c r="B34" s="11" t="s">
        <v>20</v>
      </c>
      <c r="C34" s="11" t="s">
        <v>1233</v>
      </c>
      <c r="D34" s="1" t="s">
        <v>1204</v>
      </c>
      <c r="E34" s="11" t="s">
        <v>1257</v>
      </c>
      <c r="F34" s="11" t="s">
        <v>1258</v>
      </c>
      <c r="G34" s="11" t="s">
        <v>1207</v>
      </c>
      <c r="H34" s="11" t="s">
        <v>56</v>
      </c>
      <c r="I34" s="22" t="n">
        <v>4408</v>
      </c>
      <c r="J34" s="26" t="n">
        <f aca="false">(K34/I34-1)*-1</f>
        <v>0.557849364791289</v>
      </c>
      <c r="K34" s="22" t="n">
        <v>1949</v>
      </c>
    </row>
    <row r="35" customFormat="false" ht="15" hidden="false" customHeight="false" outlineLevel="0" collapsed="false">
      <c r="A35" s="11" t="s">
        <v>1196</v>
      </c>
      <c r="B35" s="11" t="s">
        <v>20</v>
      </c>
      <c r="C35" s="11" t="s">
        <v>1233</v>
      </c>
      <c r="D35" s="1" t="s">
        <v>1204</v>
      </c>
      <c r="E35" s="11" t="s">
        <v>1259</v>
      </c>
      <c r="F35" s="11" t="s">
        <v>1260</v>
      </c>
      <c r="G35" s="11" t="s">
        <v>1207</v>
      </c>
      <c r="H35" s="11" t="s">
        <v>56</v>
      </c>
      <c r="I35" s="22" t="n">
        <v>4232</v>
      </c>
      <c r="J35" s="26" t="n">
        <f aca="false">(K35/I35-1)*-1</f>
        <v>0.551275992438563</v>
      </c>
      <c r="K35" s="22" t="n">
        <v>1899</v>
      </c>
    </row>
    <row r="36" customFormat="false" ht="15" hidden="false" customHeight="false" outlineLevel="0" collapsed="false">
      <c r="A36" s="11" t="s">
        <v>1196</v>
      </c>
      <c r="B36" s="11" t="s">
        <v>20</v>
      </c>
      <c r="C36" s="11" t="s">
        <v>1233</v>
      </c>
      <c r="D36" s="1" t="s">
        <v>1204</v>
      </c>
      <c r="E36" s="11" t="s">
        <v>1261</v>
      </c>
      <c r="F36" s="11" t="s">
        <v>1262</v>
      </c>
      <c r="G36" s="11" t="s">
        <v>1207</v>
      </c>
      <c r="H36" s="11" t="s">
        <v>56</v>
      </c>
      <c r="I36" s="22" t="n">
        <v>3108</v>
      </c>
      <c r="J36" s="26" t="n">
        <f aca="false">(K36/I36-1)*-1</f>
        <v>0.311776061776062</v>
      </c>
      <c r="K36" s="22" t="n">
        <v>2139</v>
      </c>
    </row>
    <row r="37" customFormat="false" ht="15" hidden="false" customHeight="false" outlineLevel="0" collapsed="false">
      <c r="A37" s="11" t="s">
        <v>1196</v>
      </c>
      <c r="B37" s="11" t="s">
        <v>20</v>
      </c>
      <c r="C37" s="11" t="s">
        <v>1233</v>
      </c>
      <c r="D37" s="1" t="s">
        <v>1204</v>
      </c>
      <c r="E37" s="11" t="s">
        <v>1263</v>
      </c>
      <c r="F37" s="11" t="s">
        <v>1264</v>
      </c>
      <c r="G37" s="11" t="s">
        <v>1207</v>
      </c>
      <c r="H37" s="11" t="s">
        <v>56</v>
      </c>
      <c r="I37" s="22" t="n">
        <v>1583</v>
      </c>
      <c r="J37" s="26" t="n">
        <f aca="false">(K37/I37-1)*-1</f>
        <v>0.432090966519267</v>
      </c>
      <c r="K37" s="22" t="n">
        <v>899</v>
      </c>
    </row>
    <row r="38" customFormat="false" ht="17" hidden="false" customHeight="false" outlineLevel="0" collapsed="false">
      <c r="I38" s="22"/>
    </row>
    <row r="39" customFormat="false" ht="17" hidden="false" customHeight="false" outlineLevel="0" collapsed="false">
      <c r="I39" s="22"/>
    </row>
  </sheetData>
  <mergeCells count="10">
    <mergeCell ref="L10:L12"/>
    <mergeCell ref="L13:L14"/>
    <mergeCell ref="L15:L16"/>
    <mergeCell ref="L17:L18"/>
    <mergeCell ref="K19:K22"/>
    <mergeCell ref="L19:L22"/>
    <mergeCell ref="K23:K26"/>
    <mergeCell ref="L23:L26"/>
    <mergeCell ref="K27:K29"/>
    <mergeCell ref="L27:L2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1" width="16.95"/>
    <col collapsed="false" customWidth="true" hidden="false" outlineLevel="0" max="2" min="2" style="11" width="6.88"/>
    <col collapsed="false" customWidth="true" hidden="false" outlineLevel="0" max="3" min="3" style="11" width="11.65"/>
    <col collapsed="false" customWidth="true" hidden="false" outlineLevel="0" max="4" min="4" style="11" width="26.49"/>
    <col collapsed="false" customWidth="true" hidden="false" outlineLevel="0" max="5" min="5" style="11" width="13.38"/>
    <col collapsed="false" customWidth="true" hidden="false" outlineLevel="0" max="6" min="6" style="11" width="64.65"/>
    <col collapsed="false" customWidth="false" hidden="false" outlineLevel="0" max="7" min="7" style="11" width="8.61"/>
    <col collapsed="false" customWidth="true" hidden="false" outlineLevel="0" max="8" min="8" style="11" width="8.74"/>
    <col collapsed="false" customWidth="true" hidden="false" outlineLevel="0" max="9" min="9" style="11" width="6.75"/>
    <col collapsed="false" customWidth="true" hidden="false" outlineLevel="0" max="10" min="10" style="11" width="13.38"/>
    <col collapsed="false" customWidth="true" hidden="false" outlineLevel="0" max="11" min="11" style="26" width="12.85"/>
    <col collapsed="false" customWidth="true" hidden="false" outlineLevel="0" max="12" min="12" style="22" width="17.75"/>
    <col collapsed="false" customWidth="true" hidden="false" outlineLevel="0" max="13" min="13" style="11" width="44.65"/>
    <col collapsed="false" customWidth="true" hidden="false" outlineLevel="0" max="2048" min="14" style="11" width="8.87"/>
  </cols>
  <sheetData>
    <row r="1" customFormat="false" ht="15" hidden="false" customHeight="false" outlineLevel="0" collapsed="false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1034</v>
      </c>
      <c r="G1" s="27" t="s">
        <v>6</v>
      </c>
      <c r="H1" s="27" t="s">
        <v>1265</v>
      </c>
      <c r="I1" s="27" t="s">
        <v>11</v>
      </c>
      <c r="J1" s="27" t="s">
        <v>1036</v>
      </c>
      <c r="K1" s="28" t="s">
        <v>1266</v>
      </c>
      <c r="L1" s="31" t="s">
        <v>1194</v>
      </c>
      <c r="M1" s="31" t="s">
        <v>503</v>
      </c>
    </row>
    <row r="2" customFormat="false" ht="15" hidden="false" customHeight="false" outlineLevel="0" collapsed="false">
      <c r="A2" s="11" t="s">
        <v>1267</v>
      </c>
      <c r="B2" s="11" t="s">
        <v>20</v>
      </c>
      <c r="C2" s="11" t="s">
        <v>1268</v>
      </c>
      <c r="D2" s="11" t="s">
        <v>1268</v>
      </c>
      <c r="F2" s="11" t="s">
        <v>1269</v>
      </c>
      <c r="J2" s="22"/>
      <c r="K2" s="26" t="n">
        <v>0.2</v>
      </c>
    </row>
    <row r="3" customFormat="false" ht="15" hidden="false" customHeight="false" outlineLevel="0" collapsed="false">
      <c r="A3" s="11" t="s">
        <v>1270</v>
      </c>
      <c r="B3" s="11" t="s">
        <v>20</v>
      </c>
      <c r="C3" s="11" t="s">
        <v>1271</v>
      </c>
      <c r="D3" s="11" t="s">
        <v>1272</v>
      </c>
      <c r="E3" s="11" t="s">
        <v>1273</v>
      </c>
      <c r="F3" s="11" t="s">
        <v>1274</v>
      </c>
      <c r="G3" s="11" t="s">
        <v>1275</v>
      </c>
      <c r="H3" s="11" t="n">
        <v>750</v>
      </c>
      <c r="I3" s="11" t="s">
        <v>63</v>
      </c>
      <c r="J3" s="22" t="n">
        <v>2999</v>
      </c>
      <c r="K3" s="26" t="n">
        <f aca="false">(L3/J3-1)*-1</f>
        <v>0.213404468156052</v>
      </c>
      <c r="L3" s="22" t="n">
        <v>2359</v>
      </c>
    </row>
    <row r="4" customFormat="false" ht="15" hidden="false" customHeight="false" outlineLevel="0" collapsed="false">
      <c r="A4" s="11" t="s">
        <v>1270</v>
      </c>
      <c r="B4" s="11" t="s">
        <v>20</v>
      </c>
      <c r="C4" s="11" t="s">
        <v>1271</v>
      </c>
      <c r="D4" s="11" t="s">
        <v>1272</v>
      </c>
      <c r="E4" s="11" t="s">
        <v>1276</v>
      </c>
      <c r="F4" s="11" t="s">
        <v>1277</v>
      </c>
      <c r="G4" s="11" t="s">
        <v>1275</v>
      </c>
      <c r="H4" s="11" t="n">
        <v>450</v>
      </c>
      <c r="I4" s="11" t="s">
        <v>63</v>
      </c>
      <c r="J4" s="22" t="n">
        <v>2229</v>
      </c>
      <c r="K4" s="26" t="n">
        <f aca="false">(L4/J4-1)*-1</f>
        <v>0.282637954239569</v>
      </c>
      <c r="L4" s="22" t="n">
        <v>1599</v>
      </c>
    </row>
    <row r="5" customFormat="false" ht="15" hidden="false" customHeight="false" outlineLevel="0" collapsed="false">
      <c r="A5" s="11" t="s">
        <v>1270</v>
      </c>
      <c r="B5" s="11" t="s">
        <v>20</v>
      </c>
      <c r="C5" s="11" t="s">
        <v>1271</v>
      </c>
      <c r="D5" s="11" t="s">
        <v>1272</v>
      </c>
      <c r="E5" s="11" t="s">
        <v>1278</v>
      </c>
      <c r="F5" s="11" t="s">
        <v>1279</v>
      </c>
      <c r="G5" s="11" t="s">
        <v>1275</v>
      </c>
      <c r="H5" s="11" t="n">
        <v>1100</v>
      </c>
      <c r="I5" s="11" t="s">
        <v>63</v>
      </c>
      <c r="J5" s="22" t="n">
        <v>3199</v>
      </c>
      <c r="K5" s="26" t="n">
        <f aca="false">(L5/J5-1)*-1</f>
        <v>0.262582056892779</v>
      </c>
      <c r="L5" s="22" t="n">
        <v>2359</v>
      </c>
    </row>
    <row r="6" customFormat="false" ht="15" hidden="false" customHeight="false" outlineLevel="0" collapsed="false">
      <c r="A6" s="11" t="s">
        <v>1270</v>
      </c>
      <c r="B6" s="11" t="s">
        <v>20</v>
      </c>
      <c r="C6" s="11" t="s">
        <v>1271</v>
      </c>
      <c r="D6" s="11" t="s">
        <v>1272</v>
      </c>
      <c r="E6" s="11" t="s">
        <v>1280</v>
      </c>
      <c r="F6" s="11" t="s">
        <v>1281</v>
      </c>
      <c r="G6" s="11" t="s">
        <v>1275</v>
      </c>
      <c r="H6" s="11" t="n">
        <v>750</v>
      </c>
      <c r="I6" s="11" t="s">
        <v>28</v>
      </c>
      <c r="J6" s="22" t="n">
        <v>3119</v>
      </c>
      <c r="K6" s="26" t="n">
        <f aca="false">(L6/J6-1)*-1</f>
        <v>0.253286309714652</v>
      </c>
      <c r="L6" s="22" t="n">
        <v>2329</v>
      </c>
    </row>
    <row r="7" customFormat="false" ht="15" hidden="false" customHeight="false" outlineLevel="0" collapsed="false">
      <c r="A7" s="11" t="s">
        <v>1282</v>
      </c>
      <c r="B7" s="11" t="s">
        <v>20</v>
      </c>
      <c r="D7" s="11" t="s">
        <v>1283</v>
      </c>
      <c r="E7" s="11" t="s">
        <v>1284</v>
      </c>
      <c r="F7" s="11" t="s">
        <v>1285</v>
      </c>
      <c r="G7" s="11" t="s">
        <v>1286</v>
      </c>
      <c r="J7" s="22" t="n">
        <v>9579</v>
      </c>
      <c r="K7" s="26" t="n">
        <f aca="false">(L7/J7-1)*-1</f>
        <v>0.161812297734628</v>
      </c>
      <c r="L7" s="22" t="n">
        <v>8029</v>
      </c>
    </row>
    <row r="8" customFormat="false" ht="15" hidden="false" customHeight="false" outlineLevel="0" collapsed="false">
      <c r="A8" s="11" t="s">
        <v>1282</v>
      </c>
      <c r="B8" s="11" t="s">
        <v>20</v>
      </c>
      <c r="D8" s="11" t="s">
        <v>1283</v>
      </c>
      <c r="E8" s="11" t="s">
        <v>1287</v>
      </c>
      <c r="F8" s="11" t="s">
        <v>1288</v>
      </c>
      <c r="G8" s="11" t="s">
        <v>1286</v>
      </c>
      <c r="J8" s="22" t="n">
        <v>8709</v>
      </c>
      <c r="K8" s="26" t="n">
        <f aca="false">(L8/J8-1)*-1</f>
        <v>0.161901481226318</v>
      </c>
      <c r="L8" s="22" t="n">
        <v>7299</v>
      </c>
    </row>
    <row r="9" customFormat="false" ht="15" hidden="false" customHeight="false" outlineLevel="0" collapsed="false">
      <c r="A9" s="11" t="s">
        <v>1282</v>
      </c>
      <c r="B9" s="11" t="s">
        <v>20</v>
      </c>
      <c r="C9" s="11" t="s">
        <v>1289</v>
      </c>
      <c r="D9" s="11" t="s">
        <v>1290</v>
      </c>
      <c r="E9" s="11" t="s">
        <v>1291</v>
      </c>
      <c r="F9" s="11" t="s">
        <v>1292</v>
      </c>
      <c r="G9" s="11" t="s">
        <v>1286</v>
      </c>
      <c r="J9" s="22" t="n">
        <v>7269</v>
      </c>
      <c r="K9" s="26" t="n">
        <f aca="false">(L9/J9-1)*-1</f>
        <v>0.15</v>
      </c>
      <c r="L9" s="22" t="n">
        <v>6178.65</v>
      </c>
    </row>
    <row r="10" customFormat="false" ht="15" hidden="false" customHeight="false" outlineLevel="0" collapsed="false">
      <c r="A10" s="11" t="s">
        <v>1282</v>
      </c>
      <c r="B10" s="11" t="s">
        <v>20</v>
      </c>
      <c r="C10" s="11" t="s">
        <v>1289</v>
      </c>
      <c r="D10" s="11" t="s">
        <v>1290</v>
      </c>
      <c r="E10" s="11" t="s">
        <v>1293</v>
      </c>
      <c r="F10" s="11" t="s">
        <v>1294</v>
      </c>
      <c r="G10" s="11" t="s">
        <v>1286</v>
      </c>
      <c r="J10" s="22" t="n">
        <v>4249</v>
      </c>
      <c r="K10" s="26" t="n">
        <f aca="false">(L10/J10-1)*-1</f>
        <v>0.15</v>
      </c>
      <c r="L10" s="22" t="n">
        <v>3611.65</v>
      </c>
    </row>
    <row r="11" customFormat="false" ht="15" hidden="false" customHeight="false" outlineLevel="0" collapsed="false">
      <c r="A11" s="11" t="s">
        <v>1282</v>
      </c>
      <c r="B11" s="11" t="s">
        <v>20</v>
      </c>
      <c r="C11" s="11" t="s">
        <v>1289</v>
      </c>
      <c r="D11" s="11" t="s">
        <v>1290</v>
      </c>
      <c r="E11" s="11" t="s">
        <v>1295</v>
      </c>
      <c r="F11" s="11" t="s">
        <v>1296</v>
      </c>
      <c r="G11" s="11" t="s">
        <v>1286</v>
      </c>
      <c r="J11" s="22" t="n">
        <v>3239</v>
      </c>
      <c r="K11" s="26" t="n">
        <f aca="false">(L11/J11-1)*-1</f>
        <v>0.15</v>
      </c>
      <c r="L11" s="22" t="n">
        <v>2753.15</v>
      </c>
      <c r="M11" s="11" t="s">
        <v>1297</v>
      </c>
    </row>
    <row r="12" customFormat="false" ht="15" hidden="false" customHeight="false" outlineLevel="0" collapsed="false">
      <c r="A12" s="11" t="s">
        <v>1282</v>
      </c>
      <c r="B12" s="11" t="s">
        <v>20</v>
      </c>
      <c r="C12" s="11" t="s">
        <v>1289</v>
      </c>
      <c r="D12" s="11" t="s">
        <v>1290</v>
      </c>
      <c r="E12" s="11" t="s">
        <v>1298</v>
      </c>
      <c r="F12" s="11" t="s">
        <v>1299</v>
      </c>
      <c r="G12" s="11" t="s">
        <v>1286</v>
      </c>
      <c r="J12" s="22" t="n">
        <v>8269</v>
      </c>
      <c r="K12" s="26" t="n">
        <f aca="false">(L12/J12-1)*-1</f>
        <v>0.15</v>
      </c>
      <c r="L12" s="22" t="n">
        <v>7028.65</v>
      </c>
      <c r="M12" s="11" t="s">
        <v>1297</v>
      </c>
    </row>
    <row r="13" customFormat="false" ht="15" hidden="false" customHeight="false" outlineLevel="0" collapsed="false">
      <c r="A13" s="11" t="s">
        <v>1282</v>
      </c>
      <c r="B13" s="11" t="s">
        <v>20</v>
      </c>
      <c r="C13" s="11" t="s">
        <v>1289</v>
      </c>
      <c r="D13" s="11" t="s">
        <v>1290</v>
      </c>
      <c r="E13" s="11" t="s">
        <v>1300</v>
      </c>
      <c r="F13" s="11" t="s">
        <v>1301</v>
      </c>
      <c r="G13" s="11" t="s">
        <v>1286</v>
      </c>
      <c r="J13" s="22" t="n">
        <v>12949</v>
      </c>
      <c r="K13" s="26" t="n">
        <f aca="false">(L13/J13-1)*-1</f>
        <v>0.15</v>
      </c>
      <c r="L13" s="22" t="n">
        <v>11006.65</v>
      </c>
      <c r="M13" s="11" t="s">
        <v>1297</v>
      </c>
    </row>
    <row r="14" customFormat="false" ht="15" hidden="false" customHeight="false" outlineLevel="0" collapsed="false">
      <c r="A14" s="11" t="s">
        <v>1282</v>
      </c>
      <c r="B14" s="11" t="s">
        <v>20</v>
      </c>
      <c r="C14" s="11" t="s">
        <v>1289</v>
      </c>
      <c r="D14" s="11" t="s">
        <v>1290</v>
      </c>
      <c r="E14" s="11" t="s">
        <v>1302</v>
      </c>
      <c r="F14" s="11" t="s">
        <v>1303</v>
      </c>
      <c r="G14" s="11" t="s">
        <v>1286</v>
      </c>
      <c r="J14" s="22" t="n">
        <v>15639</v>
      </c>
      <c r="K14" s="26" t="n">
        <f aca="false">(L14/J14-1)*-1</f>
        <v>0.15</v>
      </c>
      <c r="L14" s="22" t="n">
        <v>13293.15</v>
      </c>
      <c r="M14" s="11" t="s">
        <v>1297</v>
      </c>
    </row>
    <row r="15" customFormat="false" ht="15" hidden="false" customHeight="false" outlineLevel="0" collapsed="false">
      <c r="A15" s="11" t="s">
        <v>1282</v>
      </c>
      <c r="B15" s="11" t="s">
        <v>20</v>
      </c>
      <c r="C15" s="11" t="s">
        <v>1289</v>
      </c>
      <c r="D15" s="11" t="s">
        <v>1290</v>
      </c>
      <c r="E15" s="11" t="s">
        <v>1304</v>
      </c>
      <c r="F15" s="11" t="s">
        <v>1305</v>
      </c>
      <c r="G15" s="11" t="s">
        <v>1286</v>
      </c>
      <c r="J15" s="15" t="n">
        <v>5599</v>
      </c>
      <c r="K15" s="26" t="n">
        <f aca="false">(L15/J15-1)*-1</f>
        <v>0.196463654223969</v>
      </c>
      <c r="L15" s="15" t="n">
        <v>4499</v>
      </c>
    </row>
    <row r="16" customFormat="false" ht="15" hidden="false" customHeight="false" outlineLevel="0" collapsed="false">
      <c r="A16" s="11" t="s">
        <v>1282</v>
      </c>
      <c r="B16" s="11" t="s">
        <v>20</v>
      </c>
      <c r="C16" s="11" t="s">
        <v>1289</v>
      </c>
      <c r="D16" s="11" t="s">
        <v>1290</v>
      </c>
      <c r="E16" s="11" t="s">
        <v>1306</v>
      </c>
      <c r="F16" s="11" t="s">
        <v>1307</v>
      </c>
      <c r="G16" s="11" t="s">
        <v>1286</v>
      </c>
      <c r="J16" s="15" t="n">
        <v>12999</v>
      </c>
      <c r="K16" s="26" t="n">
        <f aca="false">(L16/J16-1)*-1</f>
        <v>0.155396568966844</v>
      </c>
      <c r="L16" s="15" t="n">
        <v>10979</v>
      </c>
    </row>
    <row r="17" customFormat="false" ht="15" hidden="false" customHeight="false" outlineLevel="0" collapsed="false">
      <c r="A17" s="11" t="s">
        <v>1282</v>
      </c>
      <c r="B17" s="11" t="s">
        <v>20</v>
      </c>
      <c r="C17" s="11" t="s">
        <v>1289</v>
      </c>
      <c r="D17" s="11" t="s">
        <v>1290</v>
      </c>
      <c r="E17" s="11" t="s">
        <v>1308</v>
      </c>
      <c r="F17" s="11" t="s">
        <v>1309</v>
      </c>
      <c r="G17" s="11" t="s">
        <v>1286</v>
      </c>
      <c r="J17" s="15" t="n">
        <v>12909</v>
      </c>
      <c r="K17" s="26" t="n">
        <f aca="false">(L17/J17-1)*-1</f>
        <v>0.14950809512743</v>
      </c>
      <c r="L17" s="15" t="n">
        <v>10979</v>
      </c>
    </row>
    <row r="18" customFormat="false" ht="15" hidden="false" customHeight="false" outlineLevel="0" collapsed="false">
      <c r="A18" s="11" t="s">
        <v>1282</v>
      </c>
      <c r="B18" s="11" t="s">
        <v>20</v>
      </c>
      <c r="C18" s="11" t="s">
        <v>1289</v>
      </c>
      <c r="D18" s="11" t="s">
        <v>1290</v>
      </c>
      <c r="E18" s="11" t="s">
        <v>1310</v>
      </c>
      <c r="F18" s="11" t="s">
        <v>1311</v>
      </c>
      <c r="G18" s="11" t="s">
        <v>1286</v>
      </c>
      <c r="J18" s="15" t="n">
        <v>9829</v>
      </c>
      <c r="K18" s="26" t="n">
        <f aca="false">(L18/J18-1)*-1</f>
        <v>0.149557432088717</v>
      </c>
      <c r="L18" s="32" t="n">
        <v>8359</v>
      </c>
    </row>
    <row r="19" customFormat="false" ht="15" hidden="false" customHeight="false" outlineLevel="0" collapsed="false">
      <c r="A19" s="11" t="s">
        <v>1312</v>
      </c>
      <c r="B19" s="11" t="s">
        <v>20</v>
      </c>
      <c r="C19" s="11" t="s">
        <v>1313</v>
      </c>
      <c r="D19" s="11" t="s">
        <v>1314</v>
      </c>
      <c r="E19" s="1" t="s">
        <v>1315</v>
      </c>
      <c r="F19" s="1" t="s">
        <v>1316</v>
      </c>
      <c r="G19" s="11" t="s">
        <v>1286</v>
      </c>
      <c r="J19" s="15" t="n">
        <v>143.25</v>
      </c>
      <c r="K19" s="26" t="n">
        <f aca="false">(L19/J19-1)*-1</f>
        <v>0.169284467713787</v>
      </c>
      <c r="L19" s="15" t="n">
        <v>119</v>
      </c>
    </row>
    <row r="20" customFormat="false" ht="15" hidden="false" customHeight="false" outlineLevel="0" collapsed="false">
      <c r="A20" s="11" t="s">
        <v>1312</v>
      </c>
      <c r="B20" s="11" t="s">
        <v>20</v>
      </c>
      <c r="C20" s="11" t="s">
        <v>1313</v>
      </c>
      <c r="D20" s="11" t="s">
        <v>1314</v>
      </c>
      <c r="E20" s="1" t="s">
        <v>1317</v>
      </c>
      <c r="F20" s="1" t="s">
        <v>1318</v>
      </c>
      <c r="G20" s="11" t="s">
        <v>1286</v>
      </c>
      <c r="J20" s="15" t="n">
        <v>143.25</v>
      </c>
      <c r="K20" s="26" t="n">
        <f aca="false">(L20/J20-1)*-1</f>
        <v>0.169284467713787</v>
      </c>
      <c r="L20" s="15" t="n">
        <v>119</v>
      </c>
    </row>
    <row r="21" customFormat="false" ht="15" hidden="false" customHeight="false" outlineLevel="0" collapsed="false">
      <c r="A21" s="11" t="s">
        <v>1312</v>
      </c>
      <c r="B21" s="11" t="s">
        <v>20</v>
      </c>
      <c r="C21" s="11" t="s">
        <v>1313</v>
      </c>
      <c r="D21" s="11" t="s">
        <v>1314</v>
      </c>
      <c r="E21" s="1" t="s">
        <v>1319</v>
      </c>
      <c r="F21" s="1" t="s">
        <v>1320</v>
      </c>
      <c r="G21" s="11" t="s">
        <v>1286</v>
      </c>
      <c r="J21" s="15" t="n">
        <v>143.25</v>
      </c>
      <c r="K21" s="26" t="n">
        <f aca="false">(L21/J21-1)*-1</f>
        <v>0.169284467713787</v>
      </c>
      <c r="L21" s="15" t="n">
        <v>119</v>
      </c>
    </row>
    <row r="22" customFormat="false" ht="15" hidden="false" customHeight="false" outlineLevel="0" collapsed="false">
      <c r="A22" s="11" t="s">
        <v>1312</v>
      </c>
      <c r="B22" s="11" t="s">
        <v>20</v>
      </c>
      <c r="C22" s="11" t="s">
        <v>1313</v>
      </c>
      <c r="D22" s="11" t="s">
        <v>1314</v>
      </c>
      <c r="E22" s="1" t="s">
        <v>1321</v>
      </c>
      <c r="F22" s="1" t="s">
        <v>1322</v>
      </c>
      <c r="G22" s="11" t="s">
        <v>1286</v>
      </c>
      <c r="J22" s="15" t="n">
        <v>143.25</v>
      </c>
      <c r="K22" s="26" t="n">
        <f aca="false">(L22/J22-1)*-1</f>
        <v>0.169284467713787</v>
      </c>
      <c r="L22" s="15" t="n">
        <v>119</v>
      </c>
    </row>
    <row r="23" customFormat="false" ht="15" hidden="false" customHeight="false" outlineLevel="0" collapsed="false">
      <c r="A23" s="1" t="s">
        <v>1323</v>
      </c>
      <c r="B23" s="1" t="s">
        <v>20</v>
      </c>
      <c r="C23" s="1" t="s">
        <v>1324</v>
      </c>
      <c r="D23" s="1" t="s">
        <v>1325</v>
      </c>
      <c r="E23" s="11" t="s">
        <v>1326</v>
      </c>
      <c r="F23" s="11" t="s">
        <v>1327</v>
      </c>
      <c r="G23" s="1" t="s">
        <v>939</v>
      </c>
      <c r="J23" s="22" t="n">
        <v>3600</v>
      </c>
      <c r="K23" s="26" t="n">
        <f aca="false">(L23/J23-1)*-1</f>
        <v>0.111111111111111</v>
      </c>
      <c r="L23" s="22" t="n">
        <v>3200</v>
      </c>
    </row>
    <row r="24" customFormat="false" ht="15" hidden="false" customHeight="false" outlineLevel="0" collapsed="false">
      <c r="A24" s="1" t="s">
        <v>1323</v>
      </c>
      <c r="B24" s="1" t="s">
        <v>20</v>
      </c>
      <c r="C24" s="1" t="s">
        <v>1324</v>
      </c>
      <c r="D24" s="1" t="s">
        <v>1325</v>
      </c>
      <c r="E24" s="11" t="s">
        <v>1328</v>
      </c>
      <c r="F24" s="11" t="s">
        <v>1329</v>
      </c>
      <c r="G24" s="1" t="s">
        <v>939</v>
      </c>
      <c r="J24" s="22" t="n">
        <v>2400</v>
      </c>
      <c r="K24" s="26" t="n">
        <f aca="false">(L24/J24-1)*-1</f>
        <v>0.117083333333333</v>
      </c>
      <c r="L24" s="22" t="n">
        <v>2119</v>
      </c>
    </row>
    <row r="25" customFormat="false" ht="15" hidden="false" customHeight="false" outlineLevel="0" collapsed="false">
      <c r="A25" s="1" t="s">
        <v>1323</v>
      </c>
      <c r="B25" s="1" t="s">
        <v>20</v>
      </c>
      <c r="C25" s="1" t="s">
        <v>1324</v>
      </c>
      <c r="D25" s="1" t="s">
        <v>1325</v>
      </c>
      <c r="E25" s="11" t="s">
        <v>1330</v>
      </c>
      <c r="F25" s="11" t="s">
        <v>1331</v>
      </c>
      <c r="G25" s="1" t="s">
        <v>939</v>
      </c>
      <c r="J25" s="22" t="n">
        <v>2279</v>
      </c>
      <c r="K25" s="26" t="n">
        <f aca="false">(L25/J25-1)*-1</f>
        <v>0.157964019306713</v>
      </c>
      <c r="L25" s="22" t="n">
        <v>1919</v>
      </c>
    </row>
    <row r="26" customFormat="false" ht="15" hidden="false" customHeight="false" outlineLevel="0" collapsed="false">
      <c r="A26" s="1" t="s">
        <v>1323</v>
      </c>
      <c r="B26" s="1" t="s">
        <v>20</v>
      </c>
      <c r="C26" s="1" t="s">
        <v>1324</v>
      </c>
      <c r="D26" s="1" t="s">
        <v>1325</v>
      </c>
      <c r="E26" s="11" t="s">
        <v>1332</v>
      </c>
      <c r="F26" s="11" t="s">
        <v>1333</v>
      </c>
      <c r="G26" s="1" t="s">
        <v>939</v>
      </c>
      <c r="J26" s="22" t="n">
        <v>2279</v>
      </c>
      <c r="K26" s="26" t="n">
        <f aca="false">(L26/J26-1)*-1</f>
        <v>0.157964019306713</v>
      </c>
      <c r="L26" s="22" t="n">
        <v>1919</v>
      </c>
    </row>
    <row r="27" customFormat="false" ht="15" hidden="false" customHeight="false" outlineLevel="0" collapsed="false">
      <c r="A27" s="1" t="s">
        <v>1323</v>
      </c>
      <c r="B27" s="1" t="s">
        <v>20</v>
      </c>
      <c r="C27" s="1" t="s">
        <v>1324</v>
      </c>
      <c r="D27" s="1" t="s">
        <v>1325</v>
      </c>
      <c r="E27" s="11" t="s">
        <v>1334</v>
      </c>
      <c r="F27" s="11" t="s">
        <v>1335</v>
      </c>
      <c r="G27" s="1" t="s">
        <v>939</v>
      </c>
      <c r="J27" s="22" t="n">
        <v>1879</v>
      </c>
      <c r="K27" s="26" t="n">
        <f aca="false">(L27/J27-1)*-1</f>
        <v>0.159659393294305</v>
      </c>
      <c r="L27" s="22" t="n">
        <v>1579</v>
      </c>
    </row>
    <row r="28" customFormat="false" ht="15" hidden="false" customHeight="false" outlineLevel="0" collapsed="false">
      <c r="A28" s="1" t="s">
        <v>1323</v>
      </c>
      <c r="B28" s="1" t="s">
        <v>20</v>
      </c>
      <c r="C28" s="1" t="s">
        <v>1324</v>
      </c>
      <c r="D28" s="1" t="s">
        <v>1325</v>
      </c>
      <c r="E28" s="11" t="s">
        <v>1336</v>
      </c>
      <c r="F28" s="11" t="s">
        <v>1337</v>
      </c>
      <c r="G28" s="1" t="s">
        <v>939</v>
      </c>
      <c r="J28" s="22" t="n">
        <v>2649</v>
      </c>
      <c r="K28" s="26" t="n">
        <f aca="false">(L28/J28-1)*-1</f>
        <v>0.158550396375991</v>
      </c>
      <c r="L28" s="22" t="n">
        <v>2229</v>
      </c>
    </row>
    <row r="29" customFormat="false" ht="15" hidden="false" customHeight="false" outlineLevel="0" collapsed="false">
      <c r="A29" s="1" t="s">
        <v>1323</v>
      </c>
      <c r="B29" s="1" t="s">
        <v>20</v>
      </c>
      <c r="C29" s="1" t="s">
        <v>1324</v>
      </c>
      <c r="D29" s="1" t="s">
        <v>1325</v>
      </c>
      <c r="E29" s="11" t="s">
        <v>1338</v>
      </c>
      <c r="F29" s="11" t="s">
        <v>1339</v>
      </c>
      <c r="G29" s="1" t="s">
        <v>939</v>
      </c>
      <c r="J29" s="22" t="n">
        <v>3199</v>
      </c>
      <c r="K29" s="26" t="n">
        <f aca="false">(L29/J29-1)*-1</f>
        <v>0.156298843388559</v>
      </c>
      <c r="L29" s="22" t="n">
        <v>2699</v>
      </c>
    </row>
    <row r="30" customFormat="false" ht="15" hidden="false" customHeight="false" outlineLevel="0" collapsed="false">
      <c r="A30" s="11" t="s">
        <v>1340</v>
      </c>
      <c r="B30" s="11" t="s">
        <v>20</v>
      </c>
      <c r="C30" s="1" t="s">
        <v>1324</v>
      </c>
      <c r="D30" s="11" t="s">
        <v>1341</v>
      </c>
      <c r="E30" s="11" t="n">
        <v>71058</v>
      </c>
      <c r="F30" s="11" t="s">
        <v>1342</v>
      </c>
      <c r="G30" s="1" t="s">
        <v>939</v>
      </c>
      <c r="H30" s="11" t="s">
        <v>1343</v>
      </c>
      <c r="I30" s="11" t="s">
        <v>56</v>
      </c>
      <c r="J30" s="22" t="n">
        <v>919</v>
      </c>
      <c r="K30" s="26" t="n">
        <f aca="false">(L30/J30-1)*-1</f>
        <v>0.178454842219804</v>
      </c>
      <c r="L30" s="22" t="n">
        <v>755</v>
      </c>
    </row>
    <row r="31" customFormat="false" ht="15" hidden="false" customHeight="false" outlineLevel="0" collapsed="false">
      <c r="A31" s="11" t="s">
        <v>1340</v>
      </c>
      <c r="B31" s="11" t="s">
        <v>20</v>
      </c>
      <c r="C31" s="1" t="s">
        <v>1324</v>
      </c>
      <c r="D31" s="11" t="s">
        <v>1341</v>
      </c>
      <c r="E31" s="11" t="n">
        <v>71059</v>
      </c>
      <c r="F31" s="11" t="s">
        <v>1344</v>
      </c>
      <c r="G31" s="1" t="s">
        <v>939</v>
      </c>
      <c r="H31" s="11" t="s">
        <v>1345</v>
      </c>
      <c r="I31" s="11" t="s">
        <v>56</v>
      </c>
      <c r="J31" s="22" t="n">
        <v>919</v>
      </c>
      <c r="K31" s="26" t="n">
        <f aca="false">(L31/J31-1)*-1</f>
        <v>0.178454842219804</v>
      </c>
      <c r="L31" s="22" t="n">
        <v>755</v>
      </c>
    </row>
    <row r="32" customFormat="false" ht="15" hidden="false" customHeight="false" outlineLevel="0" collapsed="false">
      <c r="A32" s="11" t="s">
        <v>1346</v>
      </c>
      <c r="B32" s="11" t="s">
        <v>20</v>
      </c>
      <c r="C32" s="11" t="s">
        <v>1347</v>
      </c>
      <c r="D32" s="11" t="s">
        <v>1348</v>
      </c>
      <c r="E32" s="11" t="s">
        <v>1349</v>
      </c>
      <c r="F32" s="11" t="s">
        <v>1350</v>
      </c>
      <c r="G32" s="1" t="s">
        <v>939</v>
      </c>
      <c r="J32" s="22" t="n">
        <v>2459</v>
      </c>
      <c r="K32" s="26" t="n">
        <f aca="false">(L32/J32-1)*-1</f>
        <v>0.593737291581944</v>
      </c>
      <c r="L32" s="22" t="n">
        <v>999</v>
      </c>
    </row>
    <row r="33" customFormat="false" ht="15" hidden="false" customHeight="false" outlineLevel="0" collapsed="false">
      <c r="A33" s="11" t="s">
        <v>1346</v>
      </c>
      <c r="B33" s="11" t="s">
        <v>20</v>
      </c>
      <c r="C33" s="11" t="s">
        <v>1347</v>
      </c>
      <c r="D33" s="11" t="s">
        <v>1348</v>
      </c>
      <c r="E33" s="11" t="s">
        <v>1351</v>
      </c>
      <c r="F33" s="11" t="s">
        <v>1352</v>
      </c>
      <c r="G33" s="1" t="s">
        <v>939</v>
      </c>
      <c r="J33" s="22" t="n">
        <v>2169</v>
      </c>
      <c r="K33" s="26" t="n">
        <f aca="false">(L33/J33-1)*-1</f>
        <v>0.355002305209774</v>
      </c>
      <c r="L33" s="22" t="n">
        <v>1399</v>
      </c>
    </row>
    <row r="34" customFormat="false" ht="15" hidden="false" customHeight="false" outlineLevel="0" collapsed="false">
      <c r="A34" s="11" t="s">
        <v>1346</v>
      </c>
      <c r="B34" s="11" t="s">
        <v>20</v>
      </c>
      <c r="C34" s="11" t="s">
        <v>1347</v>
      </c>
      <c r="D34" s="11" t="s">
        <v>1348</v>
      </c>
      <c r="E34" s="11" t="s">
        <v>1353</v>
      </c>
      <c r="F34" s="11" t="s">
        <v>1354</v>
      </c>
      <c r="G34" s="1" t="s">
        <v>939</v>
      </c>
      <c r="J34" s="22" t="n">
        <v>2129</v>
      </c>
      <c r="K34" s="26" t="n">
        <f aca="false">(L34/J34-1)*-1</f>
        <v>0.201972757162987</v>
      </c>
      <c r="L34" s="22" t="n">
        <v>1699</v>
      </c>
    </row>
    <row r="35" customFormat="false" ht="15" hidden="false" customHeight="false" outlineLevel="0" collapsed="false">
      <c r="A35" s="11" t="s">
        <v>1346</v>
      </c>
      <c r="B35" s="11" t="s">
        <v>20</v>
      </c>
      <c r="C35" s="11" t="s">
        <v>1347</v>
      </c>
      <c r="D35" s="11" t="s">
        <v>1348</v>
      </c>
      <c r="E35" s="11" t="s">
        <v>1355</v>
      </c>
      <c r="F35" s="11" t="s">
        <v>1356</v>
      </c>
      <c r="G35" s="1" t="s">
        <v>939</v>
      </c>
      <c r="J35" s="22" t="n">
        <v>2699</v>
      </c>
      <c r="K35" s="26" t="n">
        <f aca="false">(L35/J35-1)*-1</f>
        <v>0.6298629121897</v>
      </c>
      <c r="L35" s="22" t="n">
        <v>999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AM2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" zeroHeight="false" outlineLevelRow="0" outlineLevelCol="0"/>
  <cols>
    <col collapsed="false" customWidth="true" hidden="false" outlineLevel="0" max="1" min="1" style="1" width="15.36"/>
    <col collapsed="false" customWidth="true" hidden="false" outlineLevel="0" max="2" min="2" style="1" width="19.6"/>
    <col collapsed="false" customWidth="true" hidden="false" outlineLevel="0" max="3" min="3" style="1" width="21.72"/>
    <col collapsed="false" customWidth="true" hidden="false" outlineLevel="0" max="4" min="4" style="1" width="22.12"/>
    <col collapsed="false" customWidth="true" hidden="false" outlineLevel="0" max="5" min="5" style="1" width="23.84"/>
    <col collapsed="false" customWidth="true" hidden="false" outlineLevel="0" max="6" min="6" style="1" width="63.06"/>
    <col collapsed="false" customWidth="true" hidden="false" outlineLevel="0" max="7" min="7" style="1" width="7.15"/>
    <col collapsed="false" customWidth="true" hidden="false" outlineLevel="0" max="8" min="8" style="1" width="7.81"/>
    <col collapsed="false" customWidth="true" hidden="false" outlineLevel="0" max="9" min="9" style="2" width="13.38"/>
    <col collapsed="false" customWidth="true" hidden="false" outlineLevel="0" max="10" min="10" style="1" width="12.85"/>
    <col collapsed="false" customWidth="true" hidden="false" outlineLevel="0" max="11" min="11" style="3" width="11.26"/>
    <col collapsed="false" customWidth="true" hidden="false" outlineLevel="0" max="12" min="12" style="15" width="14.7"/>
    <col collapsed="false" customWidth="true" hidden="false" outlineLevel="0" max="13" min="13" style="1" width="49.15"/>
    <col collapsed="false" customWidth="true" hidden="false" outlineLevel="0" max="2048" min="14" style="1" width="8.87"/>
  </cols>
  <sheetData>
    <row r="1" s="8" customFormat="true" ht="31.3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1034</v>
      </c>
      <c r="G1" s="4" t="s">
        <v>6</v>
      </c>
      <c r="H1" s="4" t="s">
        <v>7</v>
      </c>
      <c r="I1" s="7" t="s">
        <v>1036</v>
      </c>
      <c r="J1" s="4" t="s">
        <v>1357</v>
      </c>
      <c r="K1" s="6" t="s">
        <v>1358</v>
      </c>
      <c r="L1" s="19" t="s">
        <v>1359</v>
      </c>
      <c r="M1" s="19" t="s">
        <v>503</v>
      </c>
    </row>
    <row r="2" customFormat="false" ht="14" hidden="false" customHeight="false" outlineLevel="0" collapsed="false">
      <c r="A2" s="1" t="s">
        <v>369</v>
      </c>
      <c r="B2" s="1" t="s">
        <v>1360</v>
      </c>
      <c r="C2" s="1" t="s">
        <v>480</v>
      </c>
      <c r="D2" s="1" t="s">
        <v>370</v>
      </c>
      <c r="E2" s="1" t="s">
        <v>1361</v>
      </c>
      <c r="F2" s="1" t="s">
        <v>1362</v>
      </c>
      <c r="G2" s="1" t="s">
        <v>24</v>
      </c>
      <c r="H2" s="1" t="n">
        <v>1.44</v>
      </c>
      <c r="I2" s="2" t="n">
        <v>984.43</v>
      </c>
      <c r="J2" s="15" t="n">
        <f aca="false">I2/H2</f>
        <v>683.631944444445</v>
      </c>
      <c r="K2" s="3" t="n">
        <f aca="false">(L2/J2-1)*-1</f>
        <v>0.562630151458204</v>
      </c>
      <c r="L2" s="15" t="n">
        <v>299</v>
      </c>
    </row>
    <row r="3" customFormat="false" ht="14" hidden="false" customHeight="false" outlineLevel="0" collapsed="false">
      <c r="A3" s="1" t="s">
        <v>369</v>
      </c>
      <c r="B3" s="1" t="s">
        <v>1360</v>
      </c>
      <c r="C3" s="1" t="s">
        <v>480</v>
      </c>
      <c r="D3" s="1" t="s">
        <v>370</v>
      </c>
      <c r="E3" s="1" t="s">
        <v>1363</v>
      </c>
      <c r="F3" s="1" t="s">
        <v>1364</v>
      </c>
      <c r="G3" s="1" t="s">
        <v>24</v>
      </c>
      <c r="H3" s="1" t="n">
        <v>2.56</v>
      </c>
      <c r="I3" s="2" t="n">
        <v>2586.43</v>
      </c>
      <c r="J3" s="15" t="n">
        <f aca="false">I3/H3</f>
        <v>1010.32421875</v>
      </c>
      <c r="K3" s="3" t="n">
        <f aca="false">(L3/J3-1)*-1</f>
        <v>0.43681445080671</v>
      </c>
      <c r="L3" s="15" t="n">
        <v>569</v>
      </c>
    </row>
    <row r="4" customFormat="false" ht="14" hidden="false" customHeight="false" outlineLevel="0" collapsed="false">
      <c r="A4" s="1" t="s">
        <v>369</v>
      </c>
      <c r="B4" s="1" t="s">
        <v>1360</v>
      </c>
      <c r="C4" s="1" t="s">
        <v>480</v>
      </c>
      <c r="D4" s="1" t="s">
        <v>370</v>
      </c>
      <c r="E4" s="1" t="s">
        <v>1365</v>
      </c>
      <c r="F4" s="1" t="s">
        <v>1366</v>
      </c>
      <c r="G4" s="1" t="s">
        <v>24</v>
      </c>
      <c r="H4" s="1" t="n">
        <v>2.88</v>
      </c>
      <c r="I4" s="2" t="n">
        <v>2962</v>
      </c>
      <c r="J4" s="15" t="n">
        <f aca="false">I4/H4</f>
        <v>1028.47222222222</v>
      </c>
      <c r="K4" s="3" t="n">
        <f aca="false">(L4/J4-1)*-1</f>
        <v>0.475921674544227</v>
      </c>
      <c r="L4" s="15" t="n">
        <v>539</v>
      </c>
    </row>
    <row r="5" customFormat="false" ht="14" hidden="false" customHeight="false" outlineLevel="0" collapsed="false">
      <c r="A5" s="1" t="s">
        <v>369</v>
      </c>
      <c r="B5" s="1" t="s">
        <v>1360</v>
      </c>
      <c r="C5" s="1" t="s">
        <v>480</v>
      </c>
      <c r="D5" s="1" t="s">
        <v>370</v>
      </c>
      <c r="E5" s="1" t="s">
        <v>1367</v>
      </c>
      <c r="F5" s="1" t="s">
        <v>1368</v>
      </c>
      <c r="G5" s="1" t="s">
        <v>24</v>
      </c>
      <c r="H5" s="1" t="n">
        <v>1.44</v>
      </c>
      <c r="I5" s="2" t="n">
        <v>1099</v>
      </c>
      <c r="J5" s="15" t="n">
        <f aca="false">I5/H5</f>
        <v>763.194444444445</v>
      </c>
      <c r="K5" s="3" t="n">
        <f aca="false">(L5/J5-1)*-1</f>
        <v>0.411683348498635</v>
      </c>
      <c r="L5" s="15" t="n">
        <v>449</v>
      </c>
    </row>
    <row r="6" customFormat="false" ht="16.4" hidden="false" customHeight="false" outlineLevel="0" collapsed="false">
      <c r="A6" s="1" t="s">
        <v>369</v>
      </c>
      <c r="B6" s="1" t="s">
        <v>1360</v>
      </c>
      <c r="C6" s="1" t="s">
        <v>480</v>
      </c>
      <c r="D6" s="1" t="s">
        <v>370</v>
      </c>
      <c r="E6" s="8" t="s">
        <v>1369</v>
      </c>
      <c r="F6" s="1" t="s">
        <v>1370</v>
      </c>
      <c r="G6" s="1" t="s">
        <v>24</v>
      </c>
      <c r="H6" s="1" t="n">
        <v>1.44</v>
      </c>
      <c r="I6" s="2" t="n">
        <v>876</v>
      </c>
      <c r="J6" s="15" t="n">
        <f aca="false">I6/H6</f>
        <v>608.333333333333</v>
      </c>
      <c r="K6" s="3" t="n">
        <f aca="false">(L6/J6-1)*-1</f>
        <v>0.475616438356164</v>
      </c>
      <c r="L6" s="15" t="n">
        <v>319</v>
      </c>
    </row>
    <row r="7" customFormat="false" ht="14" hidden="false" customHeight="false" outlineLevel="0" collapsed="false">
      <c r="A7" s="1" t="s">
        <v>369</v>
      </c>
      <c r="B7" s="1" t="s">
        <v>1360</v>
      </c>
      <c r="C7" s="1" t="s">
        <v>480</v>
      </c>
      <c r="D7" s="1" t="s">
        <v>370</v>
      </c>
      <c r="E7" s="1" t="s">
        <v>1371</v>
      </c>
      <c r="F7" s="1" t="s">
        <v>1372</v>
      </c>
      <c r="G7" s="1" t="s">
        <v>24</v>
      </c>
      <c r="H7" s="1" t="n">
        <v>1.44</v>
      </c>
      <c r="I7" s="2" t="n">
        <v>682</v>
      </c>
      <c r="J7" s="15" t="n">
        <f aca="false">I7/H7</f>
        <v>473.611111111111</v>
      </c>
      <c r="K7" s="3" t="n">
        <f aca="false">(L7/J7-1)*-1</f>
        <v>0.558709677419355</v>
      </c>
      <c r="L7" s="15" t="n">
        <v>209</v>
      </c>
    </row>
    <row r="8" customFormat="false" ht="14" hidden="false" customHeight="false" outlineLevel="0" collapsed="false">
      <c r="A8" s="1" t="s">
        <v>369</v>
      </c>
      <c r="B8" s="1" t="s">
        <v>1360</v>
      </c>
      <c r="C8" s="1" t="s">
        <v>480</v>
      </c>
      <c r="D8" s="1" t="s">
        <v>370</v>
      </c>
      <c r="E8" s="1" t="s">
        <v>1373</v>
      </c>
      <c r="F8" s="1" t="s">
        <v>1374</v>
      </c>
      <c r="G8" s="1" t="s">
        <v>24</v>
      </c>
      <c r="H8" s="1" t="n">
        <v>1.44</v>
      </c>
      <c r="I8" s="2" t="n">
        <v>984.43</v>
      </c>
      <c r="J8" s="15" t="n">
        <f aca="false">I8/H8</f>
        <v>683.631944444445</v>
      </c>
      <c r="K8" s="3" t="n">
        <f aca="false">(L8/J8-1)*-1</f>
        <v>0.533374643194539</v>
      </c>
      <c r="L8" s="15" t="n">
        <v>319</v>
      </c>
    </row>
    <row r="9" customFormat="false" ht="14" hidden="false" customHeight="false" outlineLevel="0" collapsed="false">
      <c r="A9" s="1" t="s">
        <v>369</v>
      </c>
      <c r="B9" s="1" t="s">
        <v>1360</v>
      </c>
      <c r="C9" s="1" t="s">
        <v>480</v>
      </c>
      <c r="D9" s="1" t="s">
        <v>370</v>
      </c>
      <c r="E9" s="1" t="s">
        <v>1375</v>
      </c>
      <c r="F9" s="1" t="s">
        <v>1376</v>
      </c>
      <c r="G9" s="1" t="s">
        <v>24</v>
      </c>
      <c r="H9" s="1" t="n">
        <v>1.44</v>
      </c>
      <c r="I9" s="2" t="n">
        <v>489</v>
      </c>
      <c r="J9" s="15" t="n">
        <f aca="false">I9/H9</f>
        <v>339.583333333333</v>
      </c>
      <c r="K9" s="3" t="n">
        <f aca="false">(L9/J9-1)*-1</f>
        <v>0.119509202453988</v>
      </c>
      <c r="L9" s="15" t="n">
        <v>299</v>
      </c>
    </row>
    <row r="10" customFormat="false" ht="14" hidden="false" customHeight="false" outlineLevel="0" collapsed="false">
      <c r="A10" s="1" t="s">
        <v>369</v>
      </c>
      <c r="B10" s="1" t="s">
        <v>1360</v>
      </c>
      <c r="C10" s="1" t="s">
        <v>480</v>
      </c>
      <c r="D10" s="1" t="s">
        <v>370</v>
      </c>
      <c r="E10" s="1" t="s">
        <v>1377</v>
      </c>
      <c r="F10" s="1" t="s">
        <v>1378</v>
      </c>
      <c r="G10" s="1" t="s">
        <v>24</v>
      </c>
      <c r="H10" s="1" t="n">
        <v>1.44</v>
      </c>
      <c r="I10" s="2" t="n">
        <v>1022.18</v>
      </c>
      <c r="J10" s="15" t="n">
        <f aca="false">I10/H10</f>
        <v>709.847222222222</v>
      </c>
      <c r="K10" s="3" t="n">
        <f aca="false">(L10/J10-1)*-1</f>
        <v>0.522432448296778</v>
      </c>
      <c r="L10" s="15" t="n">
        <v>339</v>
      </c>
    </row>
    <row r="11" customFormat="false" ht="14" hidden="false" customHeight="false" outlineLevel="0" collapsed="false">
      <c r="A11" s="1" t="s">
        <v>1379</v>
      </c>
      <c r="B11" s="1" t="s">
        <v>1360</v>
      </c>
      <c r="C11" s="1" t="s">
        <v>1380</v>
      </c>
      <c r="D11" s="1" t="s">
        <v>1381</v>
      </c>
      <c r="E11" s="1" t="s">
        <v>1382</v>
      </c>
      <c r="F11" s="1" t="s">
        <v>1383</v>
      </c>
      <c r="G11" s="1" t="s">
        <v>939</v>
      </c>
      <c r="H11" s="1" t="n">
        <v>1</v>
      </c>
      <c r="I11" s="2" t="n">
        <v>32269.9</v>
      </c>
      <c r="J11" s="15" t="n">
        <f aca="false">I11/H11</f>
        <v>32269.9</v>
      </c>
      <c r="K11" s="3" t="n">
        <f aca="false">(L11/J11-1)*-1</f>
        <v>0.256303862112991</v>
      </c>
      <c r="L11" s="15" t="n">
        <v>23999</v>
      </c>
    </row>
    <row r="12" customFormat="false" ht="14" hidden="false" customHeight="false" outlineLevel="0" collapsed="false">
      <c r="A12" s="1" t="s">
        <v>1323</v>
      </c>
      <c r="B12" s="1" t="s">
        <v>1360</v>
      </c>
      <c r="C12" s="1" t="s">
        <v>1384</v>
      </c>
      <c r="D12" s="1" t="s">
        <v>1385</v>
      </c>
      <c r="E12" s="1" t="s">
        <v>1386</v>
      </c>
      <c r="F12" s="1" t="s">
        <v>1387</v>
      </c>
      <c r="G12" s="1" t="s">
        <v>939</v>
      </c>
      <c r="H12" s="1" t="n">
        <v>1</v>
      </c>
      <c r="I12" s="2" t="n">
        <v>2468</v>
      </c>
      <c r="J12" s="15" t="n">
        <f aca="false">I12/H12</f>
        <v>2468</v>
      </c>
      <c r="K12" s="3" t="n">
        <f aca="false">(L12/J12-1)*-1</f>
        <v>0.797811993517018</v>
      </c>
      <c r="L12" s="15" t="n">
        <v>499</v>
      </c>
    </row>
    <row r="13" customFormat="false" ht="14" hidden="false" customHeight="false" outlineLevel="0" collapsed="false">
      <c r="A13" s="1" t="s">
        <v>1323</v>
      </c>
      <c r="B13" s="1" t="s">
        <v>1360</v>
      </c>
      <c r="C13" s="1" t="s">
        <v>1384</v>
      </c>
      <c r="D13" s="1" t="s">
        <v>1385</v>
      </c>
      <c r="E13" s="1" t="s">
        <v>1388</v>
      </c>
      <c r="F13" s="1" t="s">
        <v>1389</v>
      </c>
      <c r="G13" s="1" t="s">
        <v>939</v>
      </c>
      <c r="H13" s="1" t="n">
        <v>1</v>
      </c>
      <c r="I13" s="2" t="n">
        <v>3677</v>
      </c>
      <c r="J13" s="15" t="n">
        <f aca="false">I13/H13</f>
        <v>3677</v>
      </c>
      <c r="K13" s="3" t="n">
        <f aca="false">(L13/J13-1)*-1</f>
        <v>0.864291542017949</v>
      </c>
      <c r="L13" s="15" t="n">
        <v>499</v>
      </c>
    </row>
    <row r="14" customFormat="false" ht="14" hidden="false" customHeight="false" outlineLevel="0" collapsed="false">
      <c r="A14" s="1" t="s">
        <v>1323</v>
      </c>
      <c r="B14" s="1" t="s">
        <v>1360</v>
      </c>
      <c r="C14" s="1" t="s">
        <v>1384</v>
      </c>
      <c r="D14" s="1" t="s">
        <v>1385</v>
      </c>
      <c r="E14" s="1" t="s">
        <v>1390</v>
      </c>
      <c r="F14" s="1" t="s">
        <v>1391</v>
      </c>
      <c r="G14" s="1" t="s">
        <v>939</v>
      </c>
      <c r="H14" s="1" t="n">
        <v>1</v>
      </c>
      <c r="I14" s="2" t="n">
        <v>3011</v>
      </c>
      <c r="J14" s="15" t="n">
        <f aca="false">I14/H14</f>
        <v>3011</v>
      </c>
      <c r="K14" s="3" t="n">
        <f aca="false">(L14/J14-1)*-1</f>
        <v>0.867485885088011</v>
      </c>
      <c r="L14" s="15" t="n">
        <v>399</v>
      </c>
    </row>
    <row r="15" customFormat="false" ht="14" hidden="false" customHeight="false" outlineLevel="0" collapsed="false">
      <c r="A15" s="1" t="s">
        <v>1323</v>
      </c>
      <c r="B15" s="1" t="s">
        <v>1360</v>
      </c>
      <c r="C15" s="1" t="s">
        <v>1384</v>
      </c>
      <c r="D15" s="1" t="s">
        <v>1385</v>
      </c>
      <c r="E15" s="1" t="s">
        <v>1392</v>
      </c>
      <c r="F15" s="1" t="s">
        <v>1393</v>
      </c>
      <c r="G15" s="1" t="s">
        <v>939</v>
      </c>
      <c r="H15" s="1" t="n">
        <v>1</v>
      </c>
      <c r="I15" s="2" t="n">
        <v>3676</v>
      </c>
      <c r="J15" s="15" t="n">
        <f aca="false">I15/H15</f>
        <v>3676</v>
      </c>
      <c r="K15" s="3" t="n">
        <f aca="false">(L15/J15-1)*-1</f>
        <v>0.837051142546246</v>
      </c>
      <c r="L15" s="15" t="n">
        <v>599</v>
      </c>
    </row>
    <row r="16" customFormat="false" ht="14" hidden="false" customHeight="false" outlineLevel="0" collapsed="false">
      <c r="A16" s="1" t="s">
        <v>1323</v>
      </c>
      <c r="B16" s="1" t="s">
        <v>1360</v>
      </c>
      <c r="C16" s="1" t="s">
        <v>1384</v>
      </c>
      <c r="D16" s="1" t="s">
        <v>1385</v>
      </c>
      <c r="E16" s="1" t="s">
        <v>1394</v>
      </c>
      <c r="F16" s="1" t="s">
        <v>1395</v>
      </c>
      <c r="G16" s="1" t="s">
        <v>939</v>
      </c>
      <c r="H16" s="1" t="n">
        <v>1</v>
      </c>
      <c r="I16" s="2" t="n">
        <v>3325</v>
      </c>
      <c r="J16" s="15" t="n">
        <f aca="false">I16/H16</f>
        <v>3325</v>
      </c>
      <c r="K16" s="3" t="n">
        <f aca="false">(L16/J16-1)*-1</f>
        <v>0.88</v>
      </c>
      <c r="L16" s="15" t="n">
        <v>399</v>
      </c>
    </row>
    <row r="17" customFormat="false" ht="14" hidden="false" customHeight="false" outlineLevel="0" collapsed="false">
      <c r="A17" s="1" t="s">
        <v>1323</v>
      </c>
      <c r="B17" s="1" t="s">
        <v>1360</v>
      </c>
      <c r="C17" s="1" t="s">
        <v>1384</v>
      </c>
      <c r="D17" s="1" t="s">
        <v>1385</v>
      </c>
      <c r="E17" s="1" t="s">
        <v>1396</v>
      </c>
      <c r="F17" s="1" t="s">
        <v>1397</v>
      </c>
      <c r="G17" s="1" t="s">
        <v>939</v>
      </c>
      <c r="H17" s="1" t="n">
        <v>1</v>
      </c>
      <c r="I17" s="2" t="n">
        <v>3223</v>
      </c>
      <c r="J17" s="15" t="n">
        <f aca="false">I17/H17</f>
        <v>3223</v>
      </c>
      <c r="K17" s="3" t="n">
        <f aca="false">(L17/J17-1)*-1</f>
        <v>0.845175302513187</v>
      </c>
      <c r="L17" s="15" t="n">
        <v>499</v>
      </c>
    </row>
    <row r="18" customFormat="false" ht="14" hidden="false" customHeight="false" outlineLevel="0" collapsed="false">
      <c r="A18" s="1" t="s">
        <v>1323</v>
      </c>
      <c r="B18" s="1" t="s">
        <v>1360</v>
      </c>
      <c r="C18" s="1" t="s">
        <v>1384</v>
      </c>
      <c r="D18" s="1" t="s">
        <v>1385</v>
      </c>
      <c r="E18" s="1" t="s">
        <v>1398</v>
      </c>
      <c r="F18" s="1" t="s">
        <v>1399</v>
      </c>
      <c r="G18" s="1" t="s">
        <v>939</v>
      </c>
      <c r="H18" s="1" t="n">
        <v>1</v>
      </c>
      <c r="I18" s="2" t="n">
        <v>3325</v>
      </c>
      <c r="J18" s="15" t="n">
        <f aca="false">I18/H18</f>
        <v>3325</v>
      </c>
      <c r="K18" s="3" t="n">
        <f aca="false">(L18/J18-1)*-1</f>
        <v>0.849924812030075</v>
      </c>
      <c r="L18" s="15" t="n">
        <v>499</v>
      </c>
    </row>
    <row r="19" customFormat="false" ht="14" hidden="false" customHeight="false" outlineLevel="0" collapsed="false">
      <c r="A19" s="1" t="s">
        <v>1323</v>
      </c>
      <c r="B19" s="1" t="s">
        <v>1360</v>
      </c>
      <c r="C19" s="1" t="s">
        <v>1384</v>
      </c>
      <c r="D19" s="1" t="s">
        <v>1385</v>
      </c>
      <c r="E19" s="1" t="s">
        <v>1400</v>
      </c>
      <c r="F19" s="1" t="s">
        <v>1401</v>
      </c>
      <c r="G19" s="1" t="s">
        <v>939</v>
      </c>
      <c r="H19" s="1" t="n">
        <v>1</v>
      </c>
      <c r="I19" s="2" t="n">
        <v>3849</v>
      </c>
      <c r="J19" s="15" t="n">
        <f aca="false">I19/H19</f>
        <v>3849</v>
      </c>
      <c r="K19" s="3" t="n">
        <f aca="false">(L19/J19-1)*-1</f>
        <v>0.896336710833983</v>
      </c>
      <c r="L19" s="15" t="n">
        <v>399</v>
      </c>
    </row>
    <row r="20" customFormat="false" ht="14" hidden="false" customHeight="false" outlineLevel="0" collapsed="false">
      <c r="A20" s="1" t="s">
        <v>92</v>
      </c>
      <c r="B20" s="1" t="s">
        <v>1360</v>
      </c>
      <c r="C20" s="1" t="s">
        <v>21</v>
      </c>
      <c r="D20" s="1" t="s">
        <v>93</v>
      </c>
      <c r="E20" s="1" t="s">
        <v>1402</v>
      </c>
      <c r="F20" s="1" t="s">
        <v>1403</v>
      </c>
      <c r="G20" s="1" t="s">
        <v>939</v>
      </c>
      <c r="H20" s="1" t="n">
        <v>1.8</v>
      </c>
      <c r="I20" s="2" t="n">
        <v>556</v>
      </c>
      <c r="J20" s="15" t="n">
        <f aca="false">I20/H20</f>
        <v>308.888888888889</v>
      </c>
      <c r="K20" s="3" t="n">
        <f aca="false">(L20/J20-1)*-1</f>
        <v>0.420503597122302</v>
      </c>
      <c r="L20" s="15" t="n">
        <v>179</v>
      </c>
    </row>
    <row r="21" customFormat="false" ht="14" hidden="false" customHeight="false" outlineLevel="0" collapsed="false">
      <c r="A21" s="1" t="s">
        <v>92</v>
      </c>
      <c r="B21" s="1" t="s">
        <v>1360</v>
      </c>
      <c r="C21" s="1" t="s">
        <v>21</v>
      </c>
      <c r="D21" s="1" t="s">
        <v>93</v>
      </c>
      <c r="E21" s="1" t="s">
        <v>1404</v>
      </c>
      <c r="F21" s="1" t="s">
        <v>1405</v>
      </c>
      <c r="G21" s="1" t="s">
        <v>939</v>
      </c>
      <c r="H21" s="1" t="n">
        <v>1.8</v>
      </c>
      <c r="I21" s="2" t="n">
        <v>509</v>
      </c>
      <c r="J21" s="15" t="n">
        <f aca="false">I21/H21</f>
        <v>282.777777777778</v>
      </c>
      <c r="K21" s="3" t="n">
        <f aca="false">(L21/J21-1)*-1</f>
        <v>0.331630648330059</v>
      </c>
      <c r="L21" s="15" t="n">
        <v>189</v>
      </c>
    </row>
    <row r="22" customFormat="false" ht="14" hidden="false" customHeight="false" outlineLevel="0" collapsed="false">
      <c r="A22" s="1" t="s">
        <v>92</v>
      </c>
      <c r="B22" s="1" t="s">
        <v>1360</v>
      </c>
      <c r="C22" s="1" t="s">
        <v>21</v>
      </c>
      <c r="D22" s="1" t="s">
        <v>93</v>
      </c>
      <c r="E22" s="1" t="s">
        <v>1406</v>
      </c>
      <c r="F22" s="1" t="s">
        <v>1407</v>
      </c>
      <c r="G22" s="1" t="s">
        <v>24</v>
      </c>
      <c r="H22" s="1" t="n">
        <v>1.8</v>
      </c>
      <c r="I22" s="2" t="n">
        <v>529</v>
      </c>
      <c r="J22" s="15" t="n">
        <f aca="false">I22/H22</f>
        <v>293.888888888889</v>
      </c>
      <c r="K22" s="3" t="n">
        <f aca="false">(L22/J22-1)*-1</f>
        <v>0.322873345935728</v>
      </c>
      <c r="L22" s="15" t="n">
        <v>199</v>
      </c>
    </row>
    <row r="23" customFormat="false" ht="14" hidden="false" customHeight="false" outlineLevel="0" collapsed="false">
      <c r="A23" s="1" t="s">
        <v>92</v>
      </c>
      <c r="B23" s="1" t="s">
        <v>1360</v>
      </c>
      <c r="C23" s="1" t="s">
        <v>21</v>
      </c>
      <c r="D23" s="1" t="s">
        <v>93</v>
      </c>
      <c r="E23" s="1" t="s">
        <v>1408</v>
      </c>
      <c r="F23" s="1" t="s">
        <v>1409</v>
      </c>
      <c r="G23" s="1" t="s">
        <v>24</v>
      </c>
      <c r="H23" s="1" t="n">
        <v>1.99</v>
      </c>
      <c r="I23" s="2" t="n">
        <v>379</v>
      </c>
      <c r="J23" s="15" t="n">
        <f aca="false">I23/H23</f>
        <v>190.452261306533</v>
      </c>
      <c r="K23" s="3" t="n">
        <f aca="false">(L23/J23-1)*-1</f>
        <v>0.375171503957784</v>
      </c>
      <c r="L23" s="15" t="n">
        <v>119</v>
      </c>
    </row>
    <row r="24" customFormat="false" ht="14" hidden="false" customHeight="false" outlineLevel="0" collapsed="false">
      <c r="A24" s="1" t="s">
        <v>92</v>
      </c>
      <c r="B24" s="1" t="s">
        <v>1360</v>
      </c>
      <c r="C24" s="1" t="s">
        <v>21</v>
      </c>
      <c r="D24" s="1" t="s">
        <v>93</v>
      </c>
      <c r="E24" s="1" t="s">
        <v>1410</v>
      </c>
      <c r="F24" s="1" t="s">
        <v>1411</v>
      </c>
      <c r="G24" s="1" t="s">
        <v>24</v>
      </c>
      <c r="H24" s="1" t="n">
        <v>1.89</v>
      </c>
      <c r="I24" s="2" t="n">
        <v>529</v>
      </c>
      <c r="J24" s="15" t="n">
        <f aca="false">I24/H24</f>
        <v>279.89417989418</v>
      </c>
      <c r="K24" s="3" t="n">
        <f aca="false">(L24/J24-1)*-1</f>
        <v>0.46765595463138</v>
      </c>
      <c r="L24" s="15" t="n">
        <v>149</v>
      </c>
    </row>
    <row r="25" customFormat="false" ht="14" hidden="false" customHeight="false" outlineLevel="0" collapsed="false">
      <c r="A25" s="1" t="s">
        <v>92</v>
      </c>
      <c r="B25" s="1" t="s">
        <v>1360</v>
      </c>
      <c r="C25" s="1" t="s">
        <v>21</v>
      </c>
      <c r="D25" s="1" t="s">
        <v>93</v>
      </c>
      <c r="E25" s="1" t="s">
        <v>1412</v>
      </c>
      <c r="F25" s="1" t="s">
        <v>1413</v>
      </c>
      <c r="G25" s="1" t="s">
        <v>24</v>
      </c>
      <c r="H25" s="1" t="n">
        <v>1.76</v>
      </c>
      <c r="I25" s="2" t="n">
        <v>599</v>
      </c>
      <c r="J25" s="15" t="n">
        <f aca="false">I25/H25</f>
        <v>340.340909090909</v>
      </c>
      <c r="K25" s="3" t="n">
        <f aca="false">(L25/J25-1)*-1</f>
        <v>0.35652754590985</v>
      </c>
      <c r="L25" s="15" t="n">
        <v>219</v>
      </c>
    </row>
    <row r="26" customFormat="false" ht="14" hidden="false" customHeight="false" outlineLevel="0" collapsed="false">
      <c r="A26" s="1" t="s">
        <v>92</v>
      </c>
      <c r="B26" s="1" t="s">
        <v>1360</v>
      </c>
      <c r="C26" s="1" t="s">
        <v>21</v>
      </c>
      <c r="D26" s="1" t="s">
        <v>93</v>
      </c>
      <c r="E26" s="1" t="s">
        <v>1414</v>
      </c>
      <c r="F26" s="1" t="s">
        <v>1415</v>
      </c>
      <c r="G26" s="1" t="s">
        <v>24</v>
      </c>
      <c r="H26" s="1" t="n">
        <v>1.83</v>
      </c>
      <c r="I26" s="2" t="n">
        <v>629</v>
      </c>
      <c r="J26" s="15" t="n">
        <f aca="false">I26/H26</f>
        <v>343.715846994536</v>
      </c>
      <c r="K26" s="3" t="n">
        <f aca="false">(L26/J26-1)*-1</f>
        <v>0.304658187599364</v>
      </c>
      <c r="L26" s="15" t="n">
        <v>239</v>
      </c>
    </row>
    <row r="27" customFormat="false" ht="14" hidden="false" customHeight="false" outlineLevel="0" collapsed="false">
      <c r="A27" s="1" t="s">
        <v>92</v>
      </c>
      <c r="B27" s="1" t="s">
        <v>1360</v>
      </c>
      <c r="C27" s="1" t="s">
        <v>21</v>
      </c>
      <c r="D27" s="1" t="s">
        <v>93</v>
      </c>
      <c r="E27" s="1" t="s">
        <v>1416</v>
      </c>
      <c r="F27" s="1" t="s">
        <v>1417</v>
      </c>
      <c r="G27" s="1" t="s">
        <v>24</v>
      </c>
      <c r="H27" s="1" t="n">
        <v>1.83</v>
      </c>
      <c r="I27" s="2" t="n">
        <v>629</v>
      </c>
      <c r="J27" s="15" t="n">
        <f aca="false">I27/H27</f>
        <v>343.715846994536</v>
      </c>
      <c r="K27" s="3" t="n">
        <f aca="false">(L27/J27-1)*-1</f>
        <v>0.304658187599364</v>
      </c>
      <c r="L27" s="15" t="n">
        <v>239</v>
      </c>
    </row>
    <row r="28" customFormat="false" ht="14" hidden="false" customHeight="false" outlineLevel="0" collapsed="false">
      <c r="A28" s="1" t="s">
        <v>92</v>
      </c>
      <c r="B28" s="1" t="s">
        <v>1360</v>
      </c>
      <c r="C28" s="1" t="s">
        <v>21</v>
      </c>
      <c r="D28" s="1" t="s">
        <v>93</v>
      </c>
      <c r="E28" s="1" t="s">
        <v>1418</v>
      </c>
      <c r="F28" s="1" t="s">
        <v>1419</v>
      </c>
      <c r="G28" s="1" t="s">
        <v>24</v>
      </c>
      <c r="H28" s="1" t="n">
        <v>1.83</v>
      </c>
      <c r="I28" s="2" t="n">
        <v>629</v>
      </c>
      <c r="J28" s="15" t="n">
        <f aca="false">I28/H28</f>
        <v>343.715846994536</v>
      </c>
      <c r="K28" s="3" t="n">
        <f aca="false">(L28/J28-1)*-1</f>
        <v>0.304658187599364</v>
      </c>
      <c r="L28" s="15" t="n">
        <v>239</v>
      </c>
    </row>
    <row r="29" customFormat="false" ht="14" hidden="false" customHeight="false" outlineLevel="0" collapsed="false">
      <c r="A29" s="1" t="s">
        <v>92</v>
      </c>
      <c r="B29" s="1" t="s">
        <v>1360</v>
      </c>
      <c r="C29" s="1" t="s">
        <v>21</v>
      </c>
      <c r="D29" s="1" t="s">
        <v>93</v>
      </c>
      <c r="E29" s="1" t="s">
        <v>1420</v>
      </c>
      <c r="F29" s="1" t="s">
        <v>1421</v>
      </c>
      <c r="G29" s="1" t="s">
        <v>24</v>
      </c>
      <c r="H29" s="1" t="n">
        <v>1.8</v>
      </c>
      <c r="I29" s="2" t="n">
        <v>425</v>
      </c>
      <c r="J29" s="15" t="n">
        <f aca="false">I29/H29</f>
        <v>236.111111111111</v>
      </c>
      <c r="K29" s="3" t="n">
        <f aca="false">(L29/J29-1)*-1</f>
        <v>0.411294117647059</v>
      </c>
      <c r="L29" s="15" t="n">
        <v>139</v>
      </c>
    </row>
    <row r="30" customFormat="false" ht="14" hidden="false" customHeight="false" outlineLevel="0" collapsed="false">
      <c r="A30" s="1" t="s">
        <v>92</v>
      </c>
      <c r="B30" s="1" t="s">
        <v>1360</v>
      </c>
      <c r="C30" s="1" t="s">
        <v>21</v>
      </c>
      <c r="D30" s="1" t="s">
        <v>93</v>
      </c>
      <c r="E30" s="1" t="s">
        <v>1422</v>
      </c>
      <c r="F30" s="1" t="s">
        <v>1423</v>
      </c>
      <c r="G30" s="1" t="s">
        <v>24</v>
      </c>
      <c r="H30" s="1" t="n">
        <v>1.76</v>
      </c>
      <c r="I30" s="2" t="n">
        <v>629</v>
      </c>
      <c r="J30" s="15" t="n">
        <f aca="false">I30/H30</f>
        <v>357.386363636364</v>
      </c>
      <c r="K30" s="3" t="n">
        <f aca="false">(L30/J30-1)*-1</f>
        <v>0.331255961844197</v>
      </c>
      <c r="L30" s="15" t="n">
        <v>239</v>
      </c>
    </row>
    <row r="31" customFormat="false" ht="14" hidden="false" customHeight="false" outlineLevel="0" collapsed="false">
      <c r="A31" s="1" t="s">
        <v>369</v>
      </c>
      <c r="B31" s="1" t="s">
        <v>1360</v>
      </c>
      <c r="C31" s="1" t="s">
        <v>1203</v>
      </c>
      <c r="D31" s="1" t="s">
        <v>1424</v>
      </c>
      <c r="E31" s="1" t="s">
        <v>1425</v>
      </c>
      <c r="F31" s="1" t="s">
        <v>1426</v>
      </c>
      <c r="G31" s="1" t="s">
        <v>1207</v>
      </c>
      <c r="H31" s="1" t="n">
        <v>1</v>
      </c>
      <c r="I31" s="2" t="n">
        <v>1569</v>
      </c>
      <c r="J31" s="15" t="n">
        <f aca="false">I31/H31</f>
        <v>1569</v>
      </c>
      <c r="K31" s="3" t="n">
        <f aca="false">(L31/J31-1)*-1</f>
        <v>0.108349267049076</v>
      </c>
      <c r="L31" s="15" t="n">
        <v>1399</v>
      </c>
      <c r="M31" s="2"/>
    </row>
    <row r="32" customFormat="false" ht="16.4" hidden="false" customHeight="false" outlineLevel="0" collapsed="false">
      <c r="A32" s="1" t="s">
        <v>369</v>
      </c>
      <c r="B32" s="1" t="s">
        <v>1360</v>
      </c>
      <c r="C32" s="1" t="s">
        <v>1203</v>
      </c>
      <c r="D32" s="1" t="s">
        <v>1427</v>
      </c>
      <c r="E32" s="8" t="s">
        <v>1428</v>
      </c>
      <c r="F32" s="8" t="s">
        <v>1429</v>
      </c>
      <c r="G32" s="1" t="s">
        <v>1207</v>
      </c>
      <c r="H32" s="1" t="n">
        <v>1</v>
      </c>
      <c r="I32" s="2" t="n">
        <v>4065</v>
      </c>
      <c r="J32" s="15" t="n">
        <f aca="false">I32/H32</f>
        <v>4065</v>
      </c>
      <c r="K32" s="3" t="n">
        <f aca="false">(L32/J32-1)*-1</f>
        <v>0.360639606396064</v>
      </c>
      <c r="L32" s="15" t="n">
        <v>2599</v>
      </c>
    </row>
    <row r="33" customFormat="false" ht="14" hidden="false" customHeight="false" outlineLevel="0" collapsed="false">
      <c r="A33" s="1" t="s">
        <v>369</v>
      </c>
      <c r="B33" s="1" t="s">
        <v>1360</v>
      </c>
      <c r="C33" s="1" t="s">
        <v>1211</v>
      </c>
      <c r="D33" s="1" t="s">
        <v>1430</v>
      </c>
      <c r="E33" s="1" t="s">
        <v>1431</v>
      </c>
      <c r="F33" s="1" t="s">
        <v>1432</v>
      </c>
      <c r="G33" s="1" t="s">
        <v>1207</v>
      </c>
      <c r="H33" s="1" t="n">
        <v>1</v>
      </c>
      <c r="I33" s="2" t="n">
        <v>594.11</v>
      </c>
      <c r="J33" s="15" t="n">
        <f aca="false">I33/H33</f>
        <v>594.11</v>
      </c>
      <c r="K33" s="3" t="n">
        <f aca="false">(L33/J33-1)*-1</f>
        <v>0.2442476982377</v>
      </c>
      <c r="L33" s="15" t="n">
        <v>449</v>
      </c>
    </row>
    <row r="34" customFormat="false" ht="14" hidden="false" customHeight="false" outlineLevel="0" collapsed="false">
      <c r="A34" s="1" t="s">
        <v>1312</v>
      </c>
      <c r="B34" s="1" t="s">
        <v>1360</v>
      </c>
      <c r="C34" s="1" t="s">
        <v>1313</v>
      </c>
      <c r="D34" s="1" t="s">
        <v>1314</v>
      </c>
      <c r="E34" s="1" t="s">
        <v>1433</v>
      </c>
      <c r="F34" s="1" t="s">
        <v>1434</v>
      </c>
      <c r="G34" s="1" t="s">
        <v>1207</v>
      </c>
      <c r="H34" s="1" t="n">
        <v>1</v>
      </c>
      <c r="I34" s="2" t="n">
        <v>196.34</v>
      </c>
      <c r="J34" s="15" t="n">
        <f aca="false">I34/H34</f>
        <v>196.34</v>
      </c>
      <c r="K34" s="3" t="n">
        <f aca="false">(L34/J34-1)*-1</f>
        <v>0.495772639299175</v>
      </c>
      <c r="L34" s="15" t="n">
        <v>99</v>
      </c>
    </row>
    <row r="35" customFormat="false" ht="14" hidden="false" customHeight="false" outlineLevel="0" collapsed="false">
      <c r="A35" s="1" t="s">
        <v>1312</v>
      </c>
      <c r="B35" s="1" t="s">
        <v>1360</v>
      </c>
      <c r="C35" s="1" t="s">
        <v>1313</v>
      </c>
      <c r="D35" s="1" t="s">
        <v>1314</v>
      </c>
      <c r="E35" s="1" t="s">
        <v>1435</v>
      </c>
      <c r="F35" s="1" t="s">
        <v>1436</v>
      </c>
      <c r="G35" s="1" t="s">
        <v>1207</v>
      </c>
      <c r="H35" s="1" t="n">
        <v>1</v>
      </c>
      <c r="I35" s="2" t="n">
        <v>185.87</v>
      </c>
      <c r="J35" s="15" t="n">
        <f aca="false">I35/H35</f>
        <v>185.87</v>
      </c>
      <c r="K35" s="3" t="n">
        <f aca="false">(L35/J35-1)*-1</f>
        <v>0.413568623231291</v>
      </c>
      <c r="L35" s="15" t="n">
        <v>109</v>
      </c>
    </row>
    <row r="36" customFormat="false" ht="14" hidden="false" customHeight="false" outlineLevel="0" collapsed="false">
      <c r="A36" s="1" t="s">
        <v>1312</v>
      </c>
      <c r="B36" s="1" t="s">
        <v>1360</v>
      </c>
      <c r="C36" s="1" t="s">
        <v>1313</v>
      </c>
      <c r="D36" s="1" t="s">
        <v>1314</v>
      </c>
      <c r="E36" s="1" t="s">
        <v>1437</v>
      </c>
      <c r="F36" s="1" t="s">
        <v>1438</v>
      </c>
      <c r="G36" s="1" t="s">
        <v>1207</v>
      </c>
      <c r="H36" s="1" t="n">
        <v>1</v>
      </c>
      <c r="I36" s="2" t="n">
        <v>236.33</v>
      </c>
      <c r="J36" s="15" t="n">
        <f aca="false">I36/H36</f>
        <v>236.33</v>
      </c>
      <c r="K36" s="3" t="n">
        <f aca="false">(L36/J36-1)*-1</f>
        <v>0.538780518766132</v>
      </c>
      <c r="L36" s="15" t="n">
        <v>109</v>
      </c>
    </row>
    <row r="37" customFormat="false" ht="14" hidden="false" customHeight="false" outlineLevel="0" collapsed="false">
      <c r="A37" s="1" t="s">
        <v>1312</v>
      </c>
      <c r="B37" s="1" t="s">
        <v>1360</v>
      </c>
      <c r="C37" s="1" t="s">
        <v>1313</v>
      </c>
      <c r="D37" s="1" t="s">
        <v>1314</v>
      </c>
      <c r="E37" s="1" t="s">
        <v>1439</v>
      </c>
      <c r="F37" s="1" t="s">
        <v>1440</v>
      </c>
      <c r="G37" s="1" t="s">
        <v>1207</v>
      </c>
      <c r="H37" s="1" t="n">
        <v>1</v>
      </c>
      <c r="I37" s="2" t="n">
        <v>143.25</v>
      </c>
      <c r="J37" s="15" t="n">
        <f aca="false">I37/H37</f>
        <v>143.25</v>
      </c>
      <c r="K37" s="3" t="n">
        <f aca="false">(L37/J37-1)*-1</f>
        <v>0.239092495636998</v>
      </c>
      <c r="L37" s="15" t="n">
        <v>109</v>
      </c>
    </row>
    <row r="38" customFormat="false" ht="14" hidden="false" customHeight="false" outlineLevel="0" collapsed="false">
      <c r="A38" s="1" t="s">
        <v>1312</v>
      </c>
      <c r="B38" s="1" t="s">
        <v>1360</v>
      </c>
      <c r="C38" s="1" t="s">
        <v>1313</v>
      </c>
      <c r="D38" s="1" t="s">
        <v>1314</v>
      </c>
      <c r="E38" s="1" t="s">
        <v>1441</v>
      </c>
      <c r="F38" s="1" t="s">
        <v>1442</v>
      </c>
      <c r="G38" s="1" t="s">
        <v>1207</v>
      </c>
      <c r="H38" s="1" t="n">
        <v>1</v>
      </c>
      <c r="I38" s="2" t="n">
        <v>143.25</v>
      </c>
      <c r="J38" s="15" t="n">
        <f aca="false">I38/H38</f>
        <v>143.25</v>
      </c>
      <c r="K38" s="3" t="n">
        <f aca="false">(L38/J38-1)*-1</f>
        <v>0.329842931937173</v>
      </c>
      <c r="L38" s="15" t="n">
        <v>96</v>
      </c>
    </row>
    <row r="39" customFormat="false" ht="14" hidden="false" customHeight="false" outlineLevel="0" collapsed="false">
      <c r="A39" s="1" t="s">
        <v>1312</v>
      </c>
      <c r="B39" s="1" t="s">
        <v>1360</v>
      </c>
      <c r="C39" s="1" t="s">
        <v>1313</v>
      </c>
      <c r="D39" s="1" t="s">
        <v>1314</v>
      </c>
      <c r="E39" s="1" t="s">
        <v>1443</v>
      </c>
      <c r="F39" s="1" t="s">
        <v>1444</v>
      </c>
      <c r="G39" s="1" t="s">
        <v>1207</v>
      </c>
      <c r="H39" s="1" t="n">
        <v>1</v>
      </c>
      <c r="I39" s="2" t="n">
        <v>143.25</v>
      </c>
      <c r="J39" s="15" t="n">
        <f aca="false">I39/H39</f>
        <v>143.25</v>
      </c>
      <c r="K39" s="3" t="n">
        <f aca="false">(L39/J39-1)*-1</f>
        <v>0.329842931937173</v>
      </c>
      <c r="L39" s="15" t="n">
        <v>96</v>
      </c>
    </row>
    <row r="40" customFormat="false" ht="14" hidden="false" customHeight="false" outlineLevel="0" collapsed="false">
      <c r="A40" s="1" t="s">
        <v>1312</v>
      </c>
      <c r="B40" s="1" t="s">
        <v>1360</v>
      </c>
      <c r="C40" s="1" t="s">
        <v>1313</v>
      </c>
      <c r="D40" s="1" t="s">
        <v>1314</v>
      </c>
      <c r="E40" s="1" t="s">
        <v>1445</v>
      </c>
      <c r="F40" s="1" t="s">
        <v>1446</v>
      </c>
      <c r="G40" s="1" t="s">
        <v>1207</v>
      </c>
      <c r="H40" s="1" t="n">
        <v>1</v>
      </c>
      <c r="I40" s="2" t="n">
        <v>143.25</v>
      </c>
      <c r="J40" s="15" t="n">
        <f aca="false">I40/H40</f>
        <v>143.25</v>
      </c>
      <c r="K40" s="3" t="n">
        <f aca="false">(L40/J40-1)*-1</f>
        <v>0.329842931937173</v>
      </c>
      <c r="L40" s="15" t="n">
        <v>96</v>
      </c>
    </row>
    <row r="41" customFormat="false" ht="14" hidden="false" customHeight="false" outlineLevel="0" collapsed="false">
      <c r="A41" s="1" t="s">
        <v>1312</v>
      </c>
      <c r="B41" s="1" t="s">
        <v>1360</v>
      </c>
      <c r="C41" s="1" t="s">
        <v>1313</v>
      </c>
      <c r="D41" s="1" t="s">
        <v>1314</v>
      </c>
      <c r="E41" s="1" t="s">
        <v>1447</v>
      </c>
      <c r="F41" s="1" t="s">
        <v>1448</v>
      </c>
      <c r="G41" s="1" t="s">
        <v>1207</v>
      </c>
      <c r="H41" s="1" t="n">
        <v>1</v>
      </c>
      <c r="I41" s="2" t="n">
        <v>143.25</v>
      </c>
      <c r="J41" s="15" t="n">
        <f aca="false">I41/H41</f>
        <v>143.25</v>
      </c>
      <c r="K41" s="3" t="n">
        <f aca="false">(L41/J41-1)*-1</f>
        <v>0.329842931937173</v>
      </c>
      <c r="L41" s="15" t="n">
        <v>96</v>
      </c>
    </row>
    <row r="42" customFormat="false" ht="14" hidden="false" customHeight="false" outlineLevel="0" collapsed="false">
      <c r="A42" s="1" t="s">
        <v>1312</v>
      </c>
      <c r="B42" s="1" t="s">
        <v>1360</v>
      </c>
      <c r="C42" s="1" t="s">
        <v>1313</v>
      </c>
      <c r="D42" s="1" t="s">
        <v>1314</v>
      </c>
      <c r="E42" s="1" t="s">
        <v>1449</v>
      </c>
      <c r="F42" s="1" t="s">
        <v>1450</v>
      </c>
      <c r="G42" s="1" t="s">
        <v>1207</v>
      </c>
      <c r="H42" s="1" t="n">
        <v>1</v>
      </c>
      <c r="I42" s="2" t="n">
        <v>143.25</v>
      </c>
      <c r="J42" s="15" t="n">
        <f aca="false">I42/H42</f>
        <v>143.25</v>
      </c>
      <c r="K42" s="3" t="n">
        <f aca="false">(L42/J42-1)*-1</f>
        <v>0.329842931937173</v>
      </c>
      <c r="L42" s="15" t="n">
        <v>96</v>
      </c>
    </row>
    <row r="43" customFormat="false" ht="14" hidden="false" customHeight="false" outlineLevel="0" collapsed="false">
      <c r="A43" s="1" t="s">
        <v>1312</v>
      </c>
      <c r="B43" s="1" t="s">
        <v>1360</v>
      </c>
      <c r="C43" s="1" t="s">
        <v>1313</v>
      </c>
      <c r="D43" s="1" t="s">
        <v>1314</v>
      </c>
      <c r="E43" s="1" t="s">
        <v>1451</v>
      </c>
      <c r="F43" s="1" t="s">
        <v>1452</v>
      </c>
      <c r="G43" s="1" t="s">
        <v>1207</v>
      </c>
      <c r="H43" s="1" t="n">
        <v>1</v>
      </c>
      <c r="I43" s="2" t="n">
        <v>143.25</v>
      </c>
      <c r="J43" s="15" t="n">
        <f aca="false">I43/H43</f>
        <v>143.25</v>
      </c>
      <c r="K43" s="3" t="n">
        <f aca="false">(L43/J43-1)*-1</f>
        <v>0.329842931937173</v>
      </c>
      <c r="L43" s="15" t="n">
        <v>96</v>
      </c>
    </row>
    <row r="44" customFormat="false" ht="14" hidden="false" customHeight="false" outlineLevel="0" collapsed="false">
      <c r="A44" s="1" t="s">
        <v>1312</v>
      </c>
      <c r="B44" s="1" t="s">
        <v>1360</v>
      </c>
      <c r="C44" s="1" t="s">
        <v>1313</v>
      </c>
      <c r="D44" s="1" t="s">
        <v>1314</v>
      </c>
      <c r="E44" s="1" t="s">
        <v>1453</v>
      </c>
      <c r="F44" s="1" t="s">
        <v>1454</v>
      </c>
      <c r="G44" s="1" t="s">
        <v>1207</v>
      </c>
      <c r="H44" s="1" t="n">
        <v>1</v>
      </c>
      <c r="I44" s="2" t="n">
        <v>143.25</v>
      </c>
      <c r="J44" s="15" t="n">
        <f aca="false">I44/H44</f>
        <v>143.25</v>
      </c>
      <c r="K44" s="3" t="n">
        <f aca="false">(L44/J44-1)*-1</f>
        <v>0.329842931937173</v>
      </c>
      <c r="L44" s="15" t="n">
        <v>96</v>
      </c>
    </row>
    <row r="45" customFormat="false" ht="14" hidden="false" customHeight="false" outlineLevel="0" collapsed="false">
      <c r="A45" s="1" t="s">
        <v>1312</v>
      </c>
      <c r="B45" s="1" t="s">
        <v>1360</v>
      </c>
      <c r="C45" s="1" t="s">
        <v>1313</v>
      </c>
      <c r="D45" s="1" t="s">
        <v>1314</v>
      </c>
      <c r="E45" s="1" t="s">
        <v>1455</v>
      </c>
      <c r="F45" s="1" t="s">
        <v>1456</v>
      </c>
      <c r="G45" s="1" t="s">
        <v>1207</v>
      </c>
      <c r="H45" s="1" t="n">
        <v>1</v>
      </c>
      <c r="I45" s="2" t="n">
        <v>143.25</v>
      </c>
      <c r="J45" s="15" t="n">
        <f aca="false">I45/H45</f>
        <v>143.25</v>
      </c>
      <c r="K45" s="3" t="n">
        <f aca="false">(L45/J45-1)*-1</f>
        <v>0.329842931937173</v>
      </c>
      <c r="L45" s="15" t="n">
        <v>96</v>
      </c>
    </row>
    <row r="46" customFormat="false" ht="14" hidden="false" customHeight="false" outlineLevel="0" collapsed="false">
      <c r="A46" s="1" t="s">
        <v>1312</v>
      </c>
      <c r="B46" s="1" t="s">
        <v>1360</v>
      </c>
      <c r="C46" s="1" t="s">
        <v>1313</v>
      </c>
      <c r="D46" s="1" t="s">
        <v>1314</v>
      </c>
      <c r="E46" s="1" t="s">
        <v>1457</v>
      </c>
      <c r="F46" s="1" t="s">
        <v>1458</v>
      </c>
      <c r="G46" s="1" t="s">
        <v>1207</v>
      </c>
      <c r="H46" s="1" t="n">
        <v>1</v>
      </c>
      <c r="I46" s="2" t="n">
        <v>196.34</v>
      </c>
      <c r="J46" s="15" t="n">
        <f aca="false">I46/H46</f>
        <v>196.34</v>
      </c>
      <c r="K46" s="3" t="n">
        <f aca="false">(L46/J46-1)*-1</f>
        <v>0.393908526026281</v>
      </c>
      <c r="L46" s="15" t="n">
        <v>119</v>
      </c>
    </row>
    <row r="47" customFormat="false" ht="14" hidden="false" customHeight="false" outlineLevel="0" collapsed="false">
      <c r="A47" s="1" t="s">
        <v>1312</v>
      </c>
      <c r="B47" s="1" t="s">
        <v>1360</v>
      </c>
      <c r="C47" s="1" t="s">
        <v>1313</v>
      </c>
      <c r="D47" s="1" t="s">
        <v>1314</v>
      </c>
      <c r="E47" s="1" t="s">
        <v>1459</v>
      </c>
      <c r="F47" s="1" t="s">
        <v>1460</v>
      </c>
      <c r="G47" s="1" t="s">
        <v>1207</v>
      </c>
      <c r="H47" s="1" t="n">
        <v>1</v>
      </c>
      <c r="I47" s="2" t="n">
        <v>236.33</v>
      </c>
      <c r="J47" s="15" t="n">
        <f aca="false">I47/H47</f>
        <v>236.33</v>
      </c>
      <c r="K47" s="3" t="n">
        <f aca="false">(L47/J47-1)*-1</f>
        <v>0.157957093894131</v>
      </c>
      <c r="L47" s="15" t="n">
        <v>199</v>
      </c>
    </row>
    <row r="48" customFormat="false" ht="14" hidden="false" customHeight="false" outlineLevel="0" collapsed="false">
      <c r="A48" s="1" t="s">
        <v>1312</v>
      </c>
      <c r="B48" s="1" t="s">
        <v>1360</v>
      </c>
      <c r="C48" s="1" t="s">
        <v>1313</v>
      </c>
      <c r="D48" s="1" t="s">
        <v>1314</v>
      </c>
      <c r="E48" s="1" t="s">
        <v>1461</v>
      </c>
      <c r="F48" s="1" t="s">
        <v>1462</v>
      </c>
      <c r="G48" s="1" t="s">
        <v>1207</v>
      </c>
      <c r="H48" s="1" t="n">
        <v>1</v>
      </c>
      <c r="I48" s="2" t="n">
        <v>143.25</v>
      </c>
      <c r="J48" s="15" t="n">
        <f aca="false">I48/H48</f>
        <v>143.25</v>
      </c>
      <c r="K48" s="3" t="n">
        <f aca="false">(L48/J48-1)*-1</f>
        <v>0.329842931937173</v>
      </c>
      <c r="L48" s="15" t="n">
        <v>96</v>
      </c>
    </row>
    <row r="49" customFormat="false" ht="14" hidden="false" customHeight="false" outlineLevel="0" collapsed="false">
      <c r="A49" s="1" t="s">
        <v>1312</v>
      </c>
      <c r="B49" s="1" t="s">
        <v>1360</v>
      </c>
      <c r="C49" s="1" t="s">
        <v>1313</v>
      </c>
      <c r="D49" s="1" t="s">
        <v>1314</v>
      </c>
      <c r="E49" s="1" t="s">
        <v>1463</v>
      </c>
      <c r="F49" s="1" t="s">
        <v>1464</v>
      </c>
      <c r="G49" s="1" t="s">
        <v>1207</v>
      </c>
      <c r="H49" s="1" t="n">
        <v>1</v>
      </c>
      <c r="I49" s="2" t="n">
        <v>143.25</v>
      </c>
      <c r="J49" s="15" t="n">
        <f aca="false">I49/H49</f>
        <v>143.25</v>
      </c>
      <c r="K49" s="3" t="n">
        <f aca="false">(L49/J49-1)*-1</f>
        <v>0.448516579406632</v>
      </c>
      <c r="L49" s="15" t="n">
        <v>79</v>
      </c>
    </row>
    <row r="50" customFormat="false" ht="14" hidden="false" customHeight="false" outlineLevel="0" collapsed="false">
      <c r="A50" s="1" t="s">
        <v>1312</v>
      </c>
      <c r="B50" s="1" t="s">
        <v>1360</v>
      </c>
      <c r="C50" s="1" t="s">
        <v>1313</v>
      </c>
      <c r="D50" s="1" t="s">
        <v>1314</v>
      </c>
      <c r="E50" s="1" t="s">
        <v>1465</v>
      </c>
      <c r="F50" s="1" t="s">
        <v>1466</v>
      </c>
      <c r="G50" s="1" t="s">
        <v>1207</v>
      </c>
      <c r="H50" s="1" t="n">
        <v>1</v>
      </c>
      <c r="I50" s="2" t="n">
        <v>143.25</v>
      </c>
      <c r="J50" s="15" t="n">
        <f aca="false">I50/H50</f>
        <v>143.25</v>
      </c>
      <c r="K50" s="3" t="n">
        <f aca="false">(L50/J50-1)*-1</f>
        <v>0.448516579406632</v>
      </c>
      <c r="L50" s="15" t="n">
        <v>79</v>
      </c>
    </row>
    <row r="51" customFormat="false" ht="14" hidden="false" customHeight="false" outlineLevel="0" collapsed="false">
      <c r="A51" s="1" t="s">
        <v>1312</v>
      </c>
      <c r="B51" s="1" t="s">
        <v>1360</v>
      </c>
      <c r="C51" s="1" t="s">
        <v>1313</v>
      </c>
      <c r="D51" s="1" t="s">
        <v>1314</v>
      </c>
      <c r="E51" s="1" t="s">
        <v>1467</v>
      </c>
      <c r="F51" s="1" t="s">
        <v>1468</v>
      </c>
      <c r="G51" s="1" t="s">
        <v>1207</v>
      </c>
      <c r="H51" s="1" t="n">
        <v>1</v>
      </c>
      <c r="I51" s="2" t="n">
        <v>185.87</v>
      </c>
      <c r="J51" s="15" t="n">
        <f aca="false">I51/H51</f>
        <v>185.87</v>
      </c>
      <c r="K51" s="3" t="n">
        <f aca="false">(L51/J51-1)*-1</f>
        <v>0.305966535750794</v>
      </c>
      <c r="L51" s="15" t="n">
        <v>129</v>
      </c>
    </row>
    <row r="52" customFormat="false" ht="14" hidden="false" customHeight="false" outlineLevel="0" collapsed="false">
      <c r="A52" s="1" t="s">
        <v>1312</v>
      </c>
      <c r="B52" s="1" t="s">
        <v>1360</v>
      </c>
      <c r="C52" s="1" t="s">
        <v>1313</v>
      </c>
      <c r="D52" s="1" t="s">
        <v>1314</v>
      </c>
      <c r="E52" s="1" t="s">
        <v>1469</v>
      </c>
      <c r="F52" s="1" t="s">
        <v>1470</v>
      </c>
      <c r="G52" s="1" t="s">
        <v>1207</v>
      </c>
      <c r="H52" s="1" t="n">
        <v>1</v>
      </c>
      <c r="I52" s="2" t="n">
        <v>99.32</v>
      </c>
      <c r="J52" s="15" t="n">
        <f aca="false">I52/H52</f>
        <v>99.32</v>
      </c>
      <c r="K52" s="3" t="n">
        <f aca="false">(L52/J52-1)*-1</f>
        <v>0.204591220298027</v>
      </c>
      <c r="L52" s="15" t="n">
        <v>79</v>
      </c>
    </row>
    <row r="53" customFormat="false" ht="14" hidden="false" customHeight="false" outlineLevel="0" collapsed="false">
      <c r="A53" s="1" t="s">
        <v>1312</v>
      </c>
      <c r="B53" s="1" t="s">
        <v>1360</v>
      </c>
      <c r="C53" s="1" t="s">
        <v>1313</v>
      </c>
      <c r="D53" s="1" t="s">
        <v>1314</v>
      </c>
      <c r="E53" s="1" t="s">
        <v>1471</v>
      </c>
      <c r="F53" s="1" t="s">
        <v>1472</v>
      </c>
      <c r="G53" s="1" t="s">
        <v>1207</v>
      </c>
      <c r="H53" s="1" t="n">
        <v>1</v>
      </c>
      <c r="I53" s="2" t="n">
        <v>196.34</v>
      </c>
      <c r="J53" s="15" t="n">
        <f aca="false">I53/H53</f>
        <v>196.34</v>
      </c>
      <c r="K53" s="3" t="n">
        <f aca="false">(L53/J53-1)*-1</f>
        <v>0.597636752572069</v>
      </c>
      <c r="L53" s="15" t="n">
        <v>79</v>
      </c>
    </row>
    <row r="54" customFormat="false" ht="14" hidden="false" customHeight="false" outlineLevel="0" collapsed="false">
      <c r="A54" s="1" t="s">
        <v>1312</v>
      </c>
      <c r="B54" s="1" t="s">
        <v>1360</v>
      </c>
      <c r="C54" s="1" t="s">
        <v>1313</v>
      </c>
      <c r="D54" s="1" t="s">
        <v>1314</v>
      </c>
      <c r="E54" s="1" t="s">
        <v>1473</v>
      </c>
      <c r="F54" s="1" t="s">
        <v>1474</v>
      </c>
      <c r="G54" s="1" t="s">
        <v>1207</v>
      </c>
      <c r="H54" s="1" t="n">
        <v>1</v>
      </c>
      <c r="I54" s="2" t="n">
        <v>396</v>
      </c>
      <c r="J54" s="15" t="n">
        <f aca="false">I54/H54</f>
        <v>396</v>
      </c>
      <c r="K54" s="3" t="n">
        <f aca="false">(L54/J54-1)*-1</f>
        <v>0.800505050505051</v>
      </c>
      <c r="L54" s="15" t="n">
        <v>79</v>
      </c>
    </row>
    <row r="55" customFormat="false" ht="14" hidden="false" customHeight="false" outlineLevel="0" collapsed="false">
      <c r="A55" s="1" t="s">
        <v>1312</v>
      </c>
      <c r="B55" s="1" t="s">
        <v>1360</v>
      </c>
      <c r="C55" s="1" t="s">
        <v>1313</v>
      </c>
      <c r="D55" s="1" t="s">
        <v>1314</v>
      </c>
      <c r="E55" s="1" t="s">
        <v>1475</v>
      </c>
      <c r="F55" s="1" t="s">
        <v>1476</v>
      </c>
      <c r="G55" s="1" t="s">
        <v>1207</v>
      </c>
      <c r="H55" s="1" t="n">
        <v>1</v>
      </c>
      <c r="I55" s="2" t="n">
        <v>396</v>
      </c>
      <c r="J55" s="15" t="n">
        <f aca="false">I55/H55</f>
        <v>396</v>
      </c>
      <c r="K55" s="3" t="n">
        <f aca="false">(L55/J55-1)*-1</f>
        <v>0.800505050505051</v>
      </c>
      <c r="L55" s="15" t="n">
        <v>79</v>
      </c>
    </row>
    <row r="56" customFormat="false" ht="14" hidden="false" customHeight="false" outlineLevel="0" collapsed="false">
      <c r="A56" s="1" t="s">
        <v>1312</v>
      </c>
      <c r="B56" s="1" t="s">
        <v>1360</v>
      </c>
      <c r="C56" s="1" t="s">
        <v>1313</v>
      </c>
      <c r="D56" s="1" t="s">
        <v>1314</v>
      </c>
      <c r="E56" s="1" t="s">
        <v>1477</v>
      </c>
      <c r="F56" s="1" t="s">
        <v>1478</v>
      </c>
      <c r="G56" s="1" t="s">
        <v>1207</v>
      </c>
      <c r="H56" s="1" t="n">
        <v>1</v>
      </c>
      <c r="I56" s="2" t="n">
        <v>89</v>
      </c>
      <c r="J56" s="15" t="n">
        <f aca="false">I56/H56</f>
        <v>89</v>
      </c>
      <c r="K56" s="3" t="n">
        <f aca="false">(L56/J56-1)*-1</f>
        <v>0.112359550561798</v>
      </c>
      <c r="L56" s="15" t="n">
        <v>79</v>
      </c>
    </row>
    <row r="57" customFormat="false" ht="14" hidden="false" customHeight="false" outlineLevel="0" collapsed="false">
      <c r="A57" s="1" t="s">
        <v>1312</v>
      </c>
      <c r="B57" s="1" t="s">
        <v>1360</v>
      </c>
      <c r="C57" s="1" t="s">
        <v>1479</v>
      </c>
      <c r="D57" s="1" t="s">
        <v>1480</v>
      </c>
      <c r="E57" s="1" t="s">
        <v>1481</v>
      </c>
      <c r="F57" s="1" t="s">
        <v>1482</v>
      </c>
      <c r="G57" s="1" t="s">
        <v>1207</v>
      </c>
      <c r="H57" s="1" t="n">
        <v>1</v>
      </c>
      <c r="I57" s="2" t="n">
        <v>244.08</v>
      </c>
      <c r="J57" s="15" t="n">
        <f aca="false">I57/H57</f>
        <v>244.08</v>
      </c>
      <c r="K57" s="3" t="n">
        <f aca="false">(L57/J57-1)*-1</f>
        <v>0.594395280235988</v>
      </c>
      <c r="L57" s="15" t="n">
        <v>99</v>
      </c>
    </row>
    <row r="58" customFormat="false" ht="14" hidden="false" customHeight="false" outlineLevel="0" collapsed="false">
      <c r="A58" s="1" t="s">
        <v>1312</v>
      </c>
      <c r="B58" s="1" t="s">
        <v>1360</v>
      </c>
      <c r="C58" s="1" t="s">
        <v>1479</v>
      </c>
      <c r="D58" s="1" t="s">
        <v>1480</v>
      </c>
      <c r="E58" s="1" t="s">
        <v>1483</v>
      </c>
      <c r="F58" s="1" t="s">
        <v>1484</v>
      </c>
      <c r="G58" s="1" t="s">
        <v>1207</v>
      </c>
      <c r="H58" s="1" t="n">
        <v>1</v>
      </c>
      <c r="I58" s="2" t="n">
        <v>283.92</v>
      </c>
      <c r="J58" s="15" t="n">
        <f aca="false">I58/H58</f>
        <v>283.92</v>
      </c>
      <c r="K58" s="3" t="n">
        <f aca="false">(L58/J58-1)*-1</f>
        <v>0.651310228233305</v>
      </c>
      <c r="L58" s="15" t="n">
        <v>99</v>
      </c>
    </row>
    <row r="59" customFormat="false" ht="14" hidden="false" customHeight="false" outlineLevel="0" collapsed="false">
      <c r="A59" s="1" t="s">
        <v>1312</v>
      </c>
      <c r="B59" s="1" t="s">
        <v>1360</v>
      </c>
      <c r="C59" s="1" t="s">
        <v>1479</v>
      </c>
      <c r="D59" s="1" t="s">
        <v>1480</v>
      </c>
      <c r="E59" s="1" t="s">
        <v>1485</v>
      </c>
      <c r="F59" s="1" t="s">
        <v>1486</v>
      </c>
      <c r="G59" s="1" t="s">
        <v>1207</v>
      </c>
      <c r="H59" s="1" t="n">
        <v>1</v>
      </c>
      <c r="I59" s="2" t="n">
        <v>187.07</v>
      </c>
      <c r="J59" s="15" t="n">
        <f aca="false">I59/H59</f>
        <v>187.07</v>
      </c>
      <c r="K59" s="3" t="n">
        <f aca="false">(L59/J59-1)*-1</f>
        <v>0.470786336665419</v>
      </c>
      <c r="L59" s="15" t="n">
        <v>99</v>
      </c>
    </row>
    <row r="60" customFormat="false" ht="14" hidden="false" customHeight="false" outlineLevel="0" collapsed="false">
      <c r="A60" s="1" t="s">
        <v>1312</v>
      </c>
      <c r="B60" s="1" t="s">
        <v>1360</v>
      </c>
      <c r="C60" s="1" t="s">
        <v>1479</v>
      </c>
      <c r="D60" s="1" t="s">
        <v>1480</v>
      </c>
      <c r="E60" s="1" t="s">
        <v>1487</v>
      </c>
      <c r="F60" s="1" t="s">
        <v>1488</v>
      </c>
      <c r="G60" s="1" t="s">
        <v>1207</v>
      </c>
      <c r="H60" s="1" t="n">
        <v>1</v>
      </c>
      <c r="I60" s="2" t="n">
        <v>369</v>
      </c>
      <c r="J60" s="15" t="n">
        <f aca="false">I60/H60</f>
        <v>369</v>
      </c>
      <c r="K60" s="3" t="n">
        <f aca="false">(L60/J60-1)*-1</f>
        <v>0.731707317073171</v>
      </c>
      <c r="L60" s="15" t="n">
        <v>99</v>
      </c>
    </row>
    <row r="61" customFormat="false" ht="14" hidden="false" customHeight="false" outlineLevel="0" collapsed="false">
      <c r="A61" s="1" t="s">
        <v>1312</v>
      </c>
      <c r="B61" s="1" t="s">
        <v>1360</v>
      </c>
      <c r="C61" s="1" t="s">
        <v>1479</v>
      </c>
      <c r="D61" s="1" t="s">
        <v>1480</v>
      </c>
      <c r="E61" s="1" t="s">
        <v>1489</v>
      </c>
      <c r="F61" s="1" t="s">
        <v>1490</v>
      </c>
      <c r="G61" s="1" t="s">
        <v>1207</v>
      </c>
      <c r="H61" s="1" t="n">
        <v>1</v>
      </c>
      <c r="I61" s="2" t="n">
        <v>260.04</v>
      </c>
      <c r="J61" s="15" t="n">
        <f aca="false">I61/H61</f>
        <v>260.04</v>
      </c>
      <c r="K61" s="3" t="n">
        <f aca="false">(L61/J61-1)*-1</f>
        <v>0.619289340101523</v>
      </c>
      <c r="L61" s="15" t="n">
        <v>99</v>
      </c>
    </row>
    <row r="62" customFormat="false" ht="14" hidden="false" customHeight="false" outlineLevel="0" collapsed="false">
      <c r="A62" s="1" t="s">
        <v>1312</v>
      </c>
      <c r="B62" s="1" t="s">
        <v>1360</v>
      </c>
      <c r="C62" s="1" t="s">
        <v>1479</v>
      </c>
      <c r="D62" s="1" t="s">
        <v>1480</v>
      </c>
      <c r="E62" s="1" t="s">
        <v>1491</v>
      </c>
      <c r="F62" s="1" t="s">
        <v>1492</v>
      </c>
      <c r="G62" s="1" t="s">
        <v>1207</v>
      </c>
      <c r="H62" s="1" t="n">
        <v>1</v>
      </c>
      <c r="I62" s="2" t="n">
        <v>224.25</v>
      </c>
      <c r="J62" s="15" t="n">
        <f aca="false">I62/H62</f>
        <v>224.25</v>
      </c>
      <c r="K62" s="3" t="n">
        <f aca="false">(L62/J62-1)*-1</f>
        <v>0.558528428093646</v>
      </c>
      <c r="L62" s="15" t="n">
        <v>99</v>
      </c>
    </row>
    <row r="63" customFormat="false" ht="14" hidden="false" customHeight="false" outlineLevel="0" collapsed="false">
      <c r="A63" s="1" t="s">
        <v>1312</v>
      </c>
      <c r="B63" s="1" t="s">
        <v>1360</v>
      </c>
      <c r="C63" s="1" t="s">
        <v>1479</v>
      </c>
      <c r="D63" s="1" t="s">
        <v>1493</v>
      </c>
      <c r="E63" s="1" t="s">
        <v>1494</v>
      </c>
      <c r="F63" s="1" t="s">
        <v>1495</v>
      </c>
      <c r="G63" s="1" t="s">
        <v>1207</v>
      </c>
      <c r="H63" s="1" t="n">
        <v>1</v>
      </c>
      <c r="I63" s="2" t="n">
        <v>219</v>
      </c>
      <c r="J63" s="15" t="n">
        <f aca="false">I63/H63</f>
        <v>219</v>
      </c>
      <c r="K63" s="3" t="n">
        <f aca="false">(L63/J63-1)*-1</f>
        <v>0.273972602739726</v>
      </c>
      <c r="L63" s="15" t="n">
        <v>159</v>
      </c>
    </row>
    <row r="64" customFormat="false" ht="14" hidden="false" customHeight="false" outlineLevel="0" collapsed="false">
      <c r="A64" s="1" t="s">
        <v>1312</v>
      </c>
      <c r="B64" s="1" t="s">
        <v>1360</v>
      </c>
      <c r="C64" s="1" t="s">
        <v>1479</v>
      </c>
      <c r="D64" s="1" t="s">
        <v>1493</v>
      </c>
      <c r="E64" s="1" t="s">
        <v>1496</v>
      </c>
      <c r="F64" s="1" t="s">
        <v>1497</v>
      </c>
      <c r="G64" s="1" t="s">
        <v>1207</v>
      </c>
      <c r="H64" s="1" t="n">
        <v>1</v>
      </c>
      <c r="I64" s="2" t="n">
        <v>89</v>
      </c>
      <c r="J64" s="15" t="n">
        <f aca="false">I64/H64</f>
        <v>89</v>
      </c>
      <c r="K64" s="3" t="n">
        <f aca="false">(L64/J64-1)*-1</f>
        <v>-0</v>
      </c>
      <c r="L64" s="15" t="n">
        <v>89</v>
      </c>
    </row>
    <row r="65" customFormat="false" ht="14" hidden="false" customHeight="false" outlineLevel="0" collapsed="false">
      <c r="A65" s="1" t="s">
        <v>1312</v>
      </c>
      <c r="B65" s="1" t="s">
        <v>1360</v>
      </c>
      <c r="C65" s="1" t="s">
        <v>1479</v>
      </c>
      <c r="D65" s="1" t="s">
        <v>1493</v>
      </c>
      <c r="E65" s="1" t="s">
        <v>1498</v>
      </c>
      <c r="F65" s="1" t="s">
        <v>1499</v>
      </c>
      <c r="G65" s="1" t="s">
        <v>1207</v>
      </c>
      <c r="H65" s="1" t="n">
        <v>1</v>
      </c>
      <c r="I65" s="2" t="n">
        <v>169</v>
      </c>
      <c r="J65" s="15" t="n">
        <f aca="false">I65/H65</f>
        <v>169</v>
      </c>
      <c r="K65" s="3" t="n">
        <f aca="false">(L65/J65-1)*-1</f>
        <v>0.236686390532544</v>
      </c>
      <c r="L65" s="15" t="n">
        <v>129</v>
      </c>
    </row>
    <row r="66" customFormat="false" ht="14" hidden="false" customHeight="false" outlineLevel="0" collapsed="false">
      <c r="A66" s="1" t="s">
        <v>1312</v>
      </c>
      <c r="B66" s="1" t="s">
        <v>1360</v>
      </c>
      <c r="C66" s="1" t="s">
        <v>1479</v>
      </c>
      <c r="D66" s="1" t="s">
        <v>1480</v>
      </c>
      <c r="E66" s="1" t="s">
        <v>1500</v>
      </c>
      <c r="F66" s="1" t="s">
        <v>1501</v>
      </c>
      <c r="G66" s="1" t="s">
        <v>1207</v>
      </c>
      <c r="H66" s="1" t="n">
        <v>1</v>
      </c>
      <c r="I66" s="2" t="n">
        <v>147.55</v>
      </c>
      <c r="J66" s="15" t="n">
        <f aca="false">I66/H66</f>
        <v>147.55</v>
      </c>
      <c r="K66" s="3" t="n">
        <f aca="false">(L66/J66-1)*-1</f>
        <v>0.125720094883091</v>
      </c>
      <c r="L66" s="15" t="n">
        <v>129</v>
      </c>
    </row>
    <row r="67" customFormat="false" ht="14" hidden="false" customHeight="false" outlineLevel="0" collapsed="false">
      <c r="A67" s="1" t="s">
        <v>1312</v>
      </c>
      <c r="B67" s="1" t="s">
        <v>1360</v>
      </c>
      <c r="C67" s="1" t="s">
        <v>1479</v>
      </c>
      <c r="D67" s="1" t="s">
        <v>1480</v>
      </c>
      <c r="E67" s="1" t="s">
        <v>1502</v>
      </c>
      <c r="F67" s="1" t="s">
        <v>1503</v>
      </c>
      <c r="G67" s="1" t="s">
        <v>1207</v>
      </c>
      <c r="H67" s="1" t="n">
        <v>1</v>
      </c>
      <c r="I67" s="2" t="n">
        <v>276.85</v>
      </c>
      <c r="J67" s="15" t="n">
        <f aca="false">I67/H67</f>
        <v>276.85</v>
      </c>
      <c r="K67" s="3" t="n">
        <f aca="false">(L67/J67-1)*-1</f>
        <v>0.534043705977967</v>
      </c>
      <c r="L67" s="15" t="n">
        <v>129</v>
      </c>
    </row>
    <row r="68" customFormat="false" ht="14" hidden="false" customHeight="false" outlineLevel="0" collapsed="false">
      <c r="A68" s="1" t="s">
        <v>1312</v>
      </c>
      <c r="B68" s="1" t="s">
        <v>1360</v>
      </c>
      <c r="C68" s="1" t="s">
        <v>1479</v>
      </c>
      <c r="D68" s="1" t="s">
        <v>1493</v>
      </c>
      <c r="E68" s="1" t="s">
        <v>1504</v>
      </c>
      <c r="F68" s="1" t="s">
        <v>1505</v>
      </c>
      <c r="G68" s="1" t="s">
        <v>1207</v>
      </c>
      <c r="H68" s="1" t="n">
        <v>1</v>
      </c>
      <c r="I68" s="2" t="n">
        <v>107.35</v>
      </c>
      <c r="J68" s="15" t="n">
        <f aca="false">I68/H68</f>
        <v>107.35</v>
      </c>
      <c r="K68" s="3" t="n">
        <f aca="false">(L68/J68-1)*-1</f>
        <v>0.170936190032604</v>
      </c>
      <c r="L68" s="15" t="n">
        <v>89</v>
      </c>
    </row>
    <row r="69" customFormat="false" ht="14" hidden="false" customHeight="false" outlineLevel="0" collapsed="false">
      <c r="A69" s="1" t="s">
        <v>1312</v>
      </c>
      <c r="B69" s="1" t="s">
        <v>1360</v>
      </c>
      <c r="C69" s="1" t="s">
        <v>1479</v>
      </c>
      <c r="D69" s="1" t="s">
        <v>1480</v>
      </c>
      <c r="E69" s="1" t="s">
        <v>1506</v>
      </c>
      <c r="F69" s="1" t="s">
        <v>1507</v>
      </c>
      <c r="G69" s="1" t="s">
        <v>1207</v>
      </c>
      <c r="H69" s="1" t="n">
        <v>1</v>
      </c>
      <c r="I69" s="2" t="n">
        <v>107.35</v>
      </c>
      <c r="J69" s="15" t="n">
        <f aca="false">I69/H69</f>
        <v>107.35</v>
      </c>
      <c r="K69" s="3" t="n">
        <f aca="false">(L69/J69-1)*-1</f>
        <v>0.170936190032604</v>
      </c>
      <c r="L69" s="15" t="n">
        <v>89</v>
      </c>
    </row>
    <row r="70" customFormat="false" ht="14" hidden="false" customHeight="false" outlineLevel="0" collapsed="false">
      <c r="A70" s="1" t="s">
        <v>1312</v>
      </c>
      <c r="B70" s="1" t="s">
        <v>1360</v>
      </c>
      <c r="C70" s="1" t="s">
        <v>1479</v>
      </c>
      <c r="D70" s="1" t="s">
        <v>1480</v>
      </c>
      <c r="E70" s="1" t="s">
        <v>1508</v>
      </c>
      <c r="F70" s="1" t="s">
        <v>1509</v>
      </c>
      <c r="G70" s="1" t="s">
        <v>1207</v>
      </c>
      <c r="H70" s="1" t="n">
        <v>1</v>
      </c>
      <c r="I70" s="2" t="n">
        <v>184.44</v>
      </c>
      <c r="J70" s="15" t="n">
        <f aca="false">I70/H70</f>
        <v>184.44</v>
      </c>
      <c r="K70" s="3" t="n">
        <f aca="false">(L70/J70-1)*-1</f>
        <v>0.517458252006072</v>
      </c>
      <c r="L70" s="15" t="n">
        <v>89</v>
      </c>
    </row>
    <row r="71" customFormat="false" ht="14" hidden="false" customHeight="false" outlineLevel="0" collapsed="false">
      <c r="A71" s="1" t="s">
        <v>1312</v>
      </c>
      <c r="B71" s="1" t="s">
        <v>1360</v>
      </c>
      <c r="C71" s="1" t="s">
        <v>1479</v>
      </c>
      <c r="D71" s="1" t="s">
        <v>1480</v>
      </c>
      <c r="E71" s="1" t="s">
        <v>1510</v>
      </c>
      <c r="F71" s="1" t="s">
        <v>1511</v>
      </c>
      <c r="G71" s="1" t="s">
        <v>1207</v>
      </c>
      <c r="H71" s="1" t="n">
        <v>1</v>
      </c>
      <c r="I71" s="2" t="n">
        <v>119</v>
      </c>
      <c r="J71" s="15" t="n">
        <f aca="false">I71/H71</f>
        <v>119</v>
      </c>
      <c r="K71" s="3" t="n">
        <f aca="false">(L71/J71-1)*-1</f>
        <v>0.252100840336134</v>
      </c>
      <c r="L71" s="15" t="n">
        <v>89</v>
      </c>
    </row>
    <row r="72" customFormat="false" ht="14" hidden="false" customHeight="false" outlineLevel="0" collapsed="false">
      <c r="A72" s="1" t="s">
        <v>1312</v>
      </c>
      <c r="B72" s="1" t="s">
        <v>1360</v>
      </c>
      <c r="C72" s="1" t="s">
        <v>1479</v>
      </c>
      <c r="D72" s="1" t="s">
        <v>1480</v>
      </c>
      <c r="E72" s="1" t="s">
        <v>1512</v>
      </c>
      <c r="F72" s="1" t="s">
        <v>1513</v>
      </c>
      <c r="G72" s="1" t="s">
        <v>1207</v>
      </c>
      <c r="H72" s="1" t="n">
        <v>1</v>
      </c>
      <c r="I72" s="2" t="n">
        <v>202.48</v>
      </c>
      <c r="J72" s="15" t="n">
        <f aca="false">I72/H72</f>
        <v>202.48</v>
      </c>
      <c r="K72" s="3" t="n">
        <f aca="false">(L72/J72-1)*-1</f>
        <v>0.560450414855788</v>
      </c>
      <c r="L72" s="15" t="n">
        <v>89</v>
      </c>
    </row>
    <row r="73" customFormat="false" ht="14" hidden="false" customHeight="false" outlineLevel="0" collapsed="false">
      <c r="A73" s="1" t="s">
        <v>1312</v>
      </c>
      <c r="B73" s="1" t="s">
        <v>1360</v>
      </c>
      <c r="C73" s="1" t="s">
        <v>1479</v>
      </c>
      <c r="D73" s="1" t="s">
        <v>1480</v>
      </c>
      <c r="E73" s="1" t="s">
        <v>1514</v>
      </c>
      <c r="F73" s="1" t="s">
        <v>1515</v>
      </c>
      <c r="G73" s="1" t="s">
        <v>1207</v>
      </c>
      <c r="H73" s="1" t="n">
        <v>1</v>
      </c>
      <c r="I73" s="2" t="n">
        <v>330.91</v>
      </c>
      <c r="J73" s="15" t="n">
        <f aca="false">I73/H73</f>
        <v>330.91</v>
      </c>
      <c r="K73" s="3" t="n">
        <f aca="false">(L73/J73-1)*-1</f>
        <v>0.731044694932157</v>
      </c>
      <c r="L73" s="15" t="n">
        <v>89</v>
      </c>
    </row>
    <row r="74" customFormat="false" ht="14" hidden="false" customHeight="false" outlineLevel="0" collapsed="false">
      <c r="A74" s="1" t="s">
        <v>1312</v>
      </c>
      <c r="B74" s="1" t="s">
        <v>1360</v>
      </c>
      <c r="C74" s="1" t="s">
        <v>1479</v>
      </c>
      <c r="D74" s="1" t="s">
        <v>1480</v>
      </c>
      <c r="E74" s="1" t="s">
        <v>1516</v>
      </c>
      <c r="F74" s="1" t="s">
        <v>1517</v>
      </c>
      <c r="G74" s="1" t="s">
        <v>1207</v>
      </c>
      <c r="H74" s="1" t="n">
        <v>1</v>
      </c>
      <c r="I74" s="2" t="n">
        <v>323.52</v>
      </c>
      <c r="J74" s="15" t="n">
        <f aca="false">I74/H74</f>
        <v>323.52</v>
      </c>
      <c r="K74" s="3" t="n">
        <f aca="false">(L74/J74-1)*-1</f>
        <v>0.724901088031652</v>
      </c>
      <c r="L74" s="15" t="n">
        <v>89</v>
      </c>
    </row>
    <row r="75" customFormat="false" ht="14" hidden="false" customHeight="false" outlineLevel="0" collapsed="false">
      <c r="A75" s="1" t="s">
        <v>1312</v>
      </c>
      <c r="B75" s="1" t="s">
        <v>1360</v>
      </c>
      <c r="C75" s="1" t="s">
        <v>1479</v>
      </c>
      <c r="D75" s="1" t="s">
        <v>1480</v>
      </c>
      <c r="E75" s="1" t="s">
        <v>1518</v>
      </c>
      <c r="F75" s="1" t="s">
        <v>1519</v>
      </c>
      <c r="G75" s="1" t="s">
        <v>1207</v>
      </c>
      <c r="H75" s="1" t="n">
        <v>1</v>
      </c>
      <c r="I75" s="2" t="n">
        <v>125.45</v>
      </c>
      <c r="J75" s="15" t="n">
        <f aca="false">I75/H75</f>
        <v>125.45</v>
      </c>
      <c r="K75" s="3" t="n">
        <f aca="false">(L75/J75-1)*-1</f>
        <v>0.290554005579912</v>
      </c>
      <c r="L75" s="15" t="n">
        <v>89</v>
      </c>
    </row>
    <row r="76" customFormat="false" ht="14" hidden="false" customHeight="false" outlineLevel="0" collapsed="false">
      <c r="A76" s="1" t="s">
        <v>1312</v>
      </c>
      <c r="B76" s="1" t="s">
        <v>1360</v>
      </c>
      <c r="C76" s="1" t="s">
        <v>1479</v>
      </c>
      <c r="D76" s="1" t="s">
        <v>1480</v>
      </c>
      <c r="E76" s="1" t="s">
        <v>1520</v>
      </c>
      <c r="F76" s="1" t="s">
        <v>1521</v>
      </c>
      <c r="G76" s="1" t="s">
        <v>1207</v>
      </c>
      <c r="H76" s="1" t="n">
        <v>1</v>
      </c>
      <c r="I76" s="2" t="n">
        <v>187.07</v>
      </c>
      <c r="J76" s="15" t="n">
        <f aca="false">I76/H76</f>
        <v>187.07</v>
      </c>
      <c r="K76" s="3" t="n">
        <f aca="false">(L76/J76-1)*-1</f>
        <v>0.470786336665419</v>
      </c>
      <c r="L76" s="15" t="n">
        <v>99</v>
      </c>
    </row>
    <row r="77" customFormat="false" ht="14" hidden="false" customHeight="false" outlineLevel="0" collapsed="false">
      <c r="A77" s="1" t="s">
        <v>1312</v>
      </c>
      <c r="B77" s="1" t="s">
        <v>1360</v>
      </c>
      <c r="C77" s="1" t="s">
        <v>1479</v>
      </c>
      <c r="D77" s="1" t="s">
        <v>1480</v>
      </c>
      <c r="E77" s="1" t="s">
        <v>1522</v>
      </c>
      <c r="F77" s="1" t="s">
        <v>1523</v>
      </c>
      <c r="G77" s="1" t="s">
        <v>1207</v>
      </c>
      <c r="H77" s="1" t="n">
        <v>1</v>
      </c>
      <c r="I77" s="2" t="n">
        <v>224.404</v>
      </c>
      <c r="J77" s="15" t="n">
        <f aca="false">I77/H77</f>
        <v>224.404</v>
      </c>
      <c r="K77" s="3" t="n">
        <f aca="false">(L77/J77-1)*-1</f>
        <v>0.558831393379797</v>
      </c>
      <c r="L77" s="15" t="n">
        <v>99</v>
      </c>
    </row>
    <row r="78" customFormat="false" ht="14" hidden="false" customHeight="false" outlineLevel="0" collapsed="false">
      <c r="A78" s="1" t="s">
        <v>1312</v>
      </c>
      <c r="B78" s="1" t="s">
        <v>1360</v>
      </c>
      <c r="C78" s="1" t="s">
        <v>1479</v>
      </c>
      <c r="D78" s="1" t="s">
        <v>1480</v>
      </c>
      <c r="E78" s="1" t="s">
        <v>1524</v>
      </c>
      <c r="F78" s="1" t="s">
        <v>1525</v>
      </c>
      <c r="G78" s="1" t="s">
        <v>1207</v>
      </c>
      <c r="H78" s="1" t="n">
        <v>1</v>
      </c>
      <c r="I78" s="2" t="n">
        <v>199</v>
      </c>
      <c r="J78" s="15" t="n">
        <f aca="false">I78/H78</f>
        <v>199</v>
      </c>
      <c r="K78" s="3" t="n">
        <f aca="false">(L78/J78-1)*-1</f>
        <v>0.50251256281407</v>
      </c>
      <c r="L78" s="15" t="n">
        <v>99</v>
      </c>
    </row>
    <row r="79" customFormat="false" ht="14" hidden="false" customHeight="false" outlineLevel="0" collapsed="false">
      <c r="A79" s="1" t="s">
        <v>1312</v>
      </c>
      <c r="B79" s="1" t="s">
        <v>1360</v>
      </c>
      <c r="C79" s="1" t="s">
        <v>1479</v>
      </c>
      <c r="D79" s="1" t="s">
        <v>1493</v>
      </c>
      <c r="E79" s="1" t="s">
        <v>1526</v>
      </c>
      <c r="F79" s="1" t="s">
        <v>1527</v>
      </c>
      <c r="G79" s="1" t="s">
        <v>1207</v>
      </c>
      <c r="H79" s="1" t="n">
        <v>1</v>
      </c>
      <c r="I79" s="2" t="n">
        <v>89</v>
      </c>
      <c r="J79" s="15" t="n">
        <f aca="false">I79/H79</f>
        <v>89</v>
      </c>
      <c r="K79" s="3" t="n">
        <f aca="false">(L79/J79-1)*-1</f>
        <v>-0</v>
      </c>
      <c r="L79" s="15" t="n">
        <v>89</v>
      </c>
    </row>
    <row r="80" customFormat="false" ht="14" hidden="false" customHeight="false" outlineLevel="0" collapsed="false">
      <c r="A80" s="1" t="s">
        <v>1312</v>
      </c>
      <c r="B80" s="1" t="s">
        <v>1360</v>
      </c>
      <c r="C80" s="1" t="s">
        <v>1479</v>
      </c>
      <c r="D80" s="1" t="s">
        <v>1480</v>
      </c>
      <c r="E80" s="1" t="s">
        <v>1528</v>
      </c>
      <c r="F80" s="1" t="s">
        <v>1529</v>
      </c>
      <c r="G80" s="1" t="s">
        <v>1207</v>
      </c>
      <c r="H80" s="1" t="n">
        <v>1</v>
      </c>
      <c r="I80" s="2" t="n">
        <v>198.07</v>
      </c>
      <c r="J80" s="15" t="n">
        <f aca="false">I80/H80</f>
        <v>198.07</v>
      </c>
      <c r="K80" s="3" t="n">
        <f aca="false">(L80/J80-1)*-1</f>
        <v>0.50017670520523</v>
      </c>
      <c r="L80" s="15" t="n">
        <v>99</v>
      </c>
    </row>
    <row r="81" customFormat="false" ht="14" hidden="false" customHeight="false" outlineLevel="0" collapsed="false">
      <c r="A81" s="1" t="s">
        <v>1312</v>
      </c>
      <c r="B81" s="1" t="s">
        <v>1360</v>
      </c>
      <c r="C81" s="1" t="s">
        <v>1479</v>
      </c>
      <c r="D81" s="1" t="s">
        <v>1480</v>
      </c>
      <c r="E81" s="1" t="s">
        <v>1530</v>
      </c>
      <c r="F81" s="1" t="s">
        <v>1531</v>
      </c>
      <c r="G81" s="1" t="s">
        <v>1207</v>
      </c>
      <c r="H81" s="1" t="n">
        <v>1</v>
      </c>
      <c r="I81" s="2" t="n">
        <v>125.45</v>
      </c>
      <c r="J81" s="15" t="n">
        <f aca="false">I81/H81</f>
        <v>125.45</v>
      </c>
      <c r="K81" s="3" t="n">
        <f aca="false">(L81/J81-1)*-1</f>
        <v>0.210840972499004</v>
      </c>
      <c r="L81" s="15" t="n">
        <v>99</v>
      </c>
    </row>
    <row r="82" customFormat="false" ht="14" hidden="false" customHeight="false" outlineLevel="0" collapsed="false">
      <c r="A82" s="1" t="s">
        <v>1312</v>
      </c>
      <c r="B82" s="1" t="s">
        <v>1360</v>
      </c>
      <c r="C82" s="1" t="s">
        <v>1479</v>
      </c>
      <c r="D82" s="1" t="s">
        <v>1480</v>
      </c>
      <c r="E82" s="1" t="s">
        <v>1532</v>
      </c>
      <c r="F82" s="1" t="s">
        <v>1533</v>
      </c>
      <c r="G82" s="1" t="s">
        <v>1207</v>
      </c>
      <c r="H82" s="1" t="n">
        <v>1</v>
      </c>
      <c r="I82" s="2" t="n">
        <v>224.49</v>
      </c>
      <c r="J82" s="15" t="n">
        <f aca="false">I82/H82</f>
        <v>224.49</v>
      </c>
      <c r="K82" s="3" t="n">
        <f aca="false">(L82/J82-1)*-1</f>
        <v>0.559000400908727</v>
      </c>
      <c r="L82" s="15" t="n">
        <v>99</v>
      </c>
    </row>
    <row r="83" customFormat="false" ht="14" hidden="false" customHeight="false" outlineLevel="0" collapsed="false">
      <c r="A83" s="1" t="s">
        <v>1312</v>
      </c>
      <c r="B83" s="1" t="s">
        <v>1360</v>
      </c>
      <c r="C83" s="1" t="s">
        <v>1479</v>
      </c>
      <c r="D83" s="1" t="s">
        <v>1480</v>
      </c>
      <c r="E83" s="1" t="s">
        <v>1534</v>
      </c>
      <c r="F83" s="1" t="s">
        <v>1535</v>
      </c>
      <c r="G83" s="1" t="s">
        <v>1207</v>
      </c>
      <c r="H83" s="1" t="n">
        <v>1</v>
      </c>
      <c r="I83" s="2" t="n">
        <v>202.48</v>
      </c>
      <c r="J83" s="15" t="n">
        <f aca="false">I83/H83</f>
        <v>202.48</v>
      </c>
      <c r="K83" s="3" t="n">
        <f aca="false">(L83/J83-1)*-1</f>
        <v>0.51106282101936</v>
      </c>
      <c r="L83" s="15" t="n">
        <v>99</v>
      </c>
    </row>
    <row r="84" customFormat="false" ht="14" hidden="false" customHeight="false" outlineLevel="0" collapsed="false">
      <c r="A84" s="1" t="s">
        <v>1312</v>
      </c>
      <c r="B84" s="1" t="s">
        <v>1360</v>
      </c>
      <c r="C84" s="1" t="s">
        <v>1479</v>
      </c>
      <c r="D84" s="1" t="s">
        <v>1480</v>
      </c>
      <c r="E84" s="1" t="s">
        <v>1536</v>
      </c>
      <c r="F84" s="1" t="s">
        <v>1537</v>
      </c>
      <c r="G84" s="1" t="s">
        <v>1207</v>
      </c>
      <c r="H84" s="1" t="n">
        <v>1</v>
      </c>
      <c r="I84" s="2" t="n">
        <v>125.4</v>
      </c>
      <c r="J84" s="15" t="n">
        <f aca="false">I84/H84</f>
        <v>125.4</v>
      </c>
      <c r="K84" s="3" t="n">
        <f aca="false">(L84/J84-1)*-1</f>
        <v>0.210526315789474</v>
      </c>
      <c r="L84" s="15" t="n">
        <v>99</v>
      </c>
    </row>
    <row r="85" customFormat="false" ht="14" hidden="false" customHeight="false" outlineLevel="0" collapsed="false">
      <c r="A85" s="1" t="s">
        <v>1312</v>
      </c>
      <c r="B85" s="1" t="s">
        <v>1360</v>
      </c>
      <c r="C85" s="1" t="s">
        <v>1479</v>
      </c>
      <c r="D85" s="1" t="s">
        <v>1480</v>
      </c>
      <c r="E85" s="1" t="s">
        <v>1538</v>
      </c>
      <c r="F85" s="1" t="s">
        <v>1539</v>
      </c>
      <c r="G85" s="1" t="s">
        <v>1207</v>
      </c>
      <c r="H85" s="1" t="n">
        <v>1</v>
      </c>
      <c r="I85" s="2" t="n">
        <v>198.07</v>
      </c>
      <c r="J85" s="15" t="n">
        <f aca="false">I85/H85</f>
        <v>198.07</v>
      </c>
      <c r="K85" s="3" t="n">
        <f aca="false">(L85/J85-1)*-1</f>
        <v>0.50017670520523</v>
      </c>
      <c r="L85" s="15" t="n">
        <v>99</v>
      </c>
    </row>
    <row r="86" customFormat="false" ht="14" hidden="false" customHeight="false" outlineLevel="0" collapsed="false">
      <c r="A86" s="1" t="s">
        <v>1312</v>
      </c>
      <c r="B86" s="1" t="s">
        <v>1360</v>
      </c>
      <c r="C86" s="1" t="s">
        <v>1479</v>
      </c>
      <c r="D86" s="1" t="s">
        <v>1480</v>
      </c>
      <c r="E86" s="1" t="s">
        <v>1540</v>
      </c>
      <c r="F86" s="1" t="s">
        <v>1541</v>
      </c>
      <c r="G86" s="1" t="s">
        <v>1207</v>
      </c>
      <c r="H86" s="1" t="n">
        <v>1</v>
      </c>
      <c r="I86" s="2" t="n">
        <v>199</v>
      </c>
      <c r="J86" s="15" t="n">
        <f aca="false">I86/H86</f>
        <v>199</v>
      </c>
      <c r="K86" s="3" t="n">
        <f aca="false">(L86/J86-1)*-1</f>
        <v>0.50251256281407</v>
      </c>
      <c r="L86" s="15" t="n">
        <v>99</v>
      </c>
    </row>
    <row r="87" customFormat="false" ht="14" hidden="false" customHeight="false" outlineLevel="0" collapsed="false">
      <c r="A87" s="1" t="s">
        <v>1312</v>
      </c>
      <c r="B87" s="1" t="s">
        <v>1360</v>
      </c>
      <c r="C87" s="1" t="s">
        <v>1479</v>
      </c>
      <c r="D87" s="1" t="s">
        <v>1480</v>
      </c>
      <c r="E87" s="1" t="s">
        <v>1540</v>
      </c>
      <c r="F87" s="1" t="s">
        <v>1541</v>
      </c>
      <c r="G87" s="1" t="s">
        <v>1207</v>
      </c>
      <c r="H87" s="1" t="n">
        <v>1</v>
      </c>
      <c r="I87" s="2" t="n">
        <v>199</v>
      </c>
      <c r="J87" s="15" t="n">
        <f aca="false">I87/H87</f>
        <v>199</v>
      </c>
      <c r="K87" s="3" t="n">
        <f aca="false">(L87/J87-1)*-1</f>
        <v>0.50251256281407</v>
      </c>
      <c r="L87" s="15" t="n">
        <v>99</v>
      </c>
    </row>
    <row r="88" customFormat="false" ht="14" hidden="false" customHeight="false" outlineLevel="0" collapsed="false">
      <c r="A88" s="1" t="s">
        <v>1312</v>
      </c>
      <c r="B88" s="1" t="s">
        <v>1360</v>
      </c>
      <c r="C88" s="1" t="s">
        <v>1479</v>
      </c>
      <c r="D88" s="1" t="s">
        <v>1480</v>
      </c>
      <c r="E88" s="1" t="s">
        <v>1542</v>
      </c>
      <c r="F88" s="1" t="s">
        <v>1543</v>
      </c>
      <c r="G88" s="1" t="s">
        <v>1207</v>
      </c>
      <c r="H88" s="1" t="n">
        <v>1</v>
      </c>
      <c r="I88" s="2" t="n">
        <v>224.49</v>
      </c>
      <c r="J88" s="15" t="n">
        <f aca="false">I88/H88</f>
        <v>224.49</v>
      </c>
      <c r="K88" s="3" t="n">
        <f aca="false">(L88/J88-1)*-1</f>
        <v>0.559000400908727</v>
      </c>
      <c r="L88" s="15" t="n">
        <v>99</v>
      </c>
    </row>
    <row r="89" customFormat="false" ht="14" hidden="false" customHeight="false" outlineLevel="0" collapsed="false">
      <c r="A89" s="1" t="s">
        <v>1312</v>
      </c>
      <c r="B89" s="1" t="s">
        <v>1360</v>
      </c>
      <c r="C89" s="1" t="s">
        <v>1479</v>
      </c>
      <c r="D89" s="1" t="s">
        <v>1480</v>
      </c>
      <c r="E89" s="1" t="s">
        <v>1544</v>
      </c>
      <c r="F89" s="1" t="s">
        <v>1545</v>
      </c>
      <c r="G89" s="1" t="s">
        <v>1207</v>
      </c>
      <c r="H89" s="1" t="n">
        <v>1</v>
      </c>
      <c r="I89" s="2" t="n">
        <v>260.04</v>
      </c>
      <c r="J89" s="15" t="n">
        <f aca="false">I89/H89</f>
        <v>260.04</v>
      </c>
      <c r="K89" s="3" t="n">
        <f aca="false">(L89/J89-1)*-1</f>
        <v>0.619289340101523</v>
      </c>
      <c r="L89" s="15" t="n">
        <v>99</v>
      </c>
    </row>
    <row r="90" customFormat="false" ht="14" hidden="false" customHeight="false" outlineLevel="0" collapsed="false">
      <c r="A90" s="1" t="s">
        <v>1312</v>
      </c>
      <c r="B90" s="1" t="s">
        <v>1360</v>
      </c>
      <c r="C90" s="1" t="s">
        <v>1479</v>
      </c>
      <c r="D90" s="1" t="s">
        <v>1480</v>
      </c>
      <c r="E90" s="1" t="s">
        <v>1546</v>
      </c>
      <c r="F90" s="1" t="s">
        <v>1547</v>
      </c>
      <c r="G90" s="1" t="s">
        <v>1207</v>
      </c>
      <c r="H90" s="1" t="n">
        <v>1</v>
      </c>
      <c r="I90" s="2" t="n">
        <v>224.49</v>
      </c>
      <c r="J90" s="15" t="n">
        <f aca="false">I90/H90</f>
        <v>224.49</v>
      </c>
      <c r="K90" s="3" t="n">
        <f aca="false">(L90/J90-1)*-1</f>
        <v>0.559000400908727</v>
      </c>
      <c r="L90" s="15" t="n">
        <v>99</v>
      </c>
    </row>
    <row r="91" customFormat="false" ht="14" hidden="false" customHeight="false" outlineLevel="0" collapsed="false">
      <c r="A91" s="1" t="s">
        <v>1312</v>
      </c>
      <c r="B91" s="1" t="s">
        <v>1360</v>
      </c>
      <c r="C91" s="1" t="s">
        <v>1479</v>
      </c>
      <c r="D91" s="1" t="s">
        <v>1480</v>
      </c>
      <c r="E91" s="1" t="s">
        <v>1548</v>
      </c>
      <c r="F91" s="1" t="s">
        <v>1549</v>
      </c>
      <c r="G91" s="1" t="s">
        <v>1207</v>
      </c>
      <c r="H91" s="1" t="n">
        <v>1</v>
      </c>
      <c r="I91" s="2" t="n">
        <v>260.4</v>
      </c>
      <c r="J91" s="15" t="n">
        <f aca="false">I91/H91</f>
        <v>260.4</v>
      </c>
      <c r="K91" s="3" t="n">
        <f aca="false">(L91/J91-1)*-1</f>
        <v>0.619815668202765</v>
      </c>
      <c r="L91" s="15" t="n">
        <v>99</v>
      </c>
    </row>
    <row r="92" customFormat="false" ht="14" hidden="false" customHeight="false" outlineLevel="0" collapsed="false">
      <c r="A92" s="1" t="s">
        <v>1312</v>
      </c>
      <c r="B92" s="1" t="s">
        <v>1360</v>
      </c>
      <c r="C92" s="1" t="s">
        <v>1479</v>
      </c>
      <c r="D92" s="1" t="s">
        <v>1480</v>
      </c>
      <c r="E92" s="1" t="s">
        <v>1550</v>
      </c>
      <c r="F92" s="1" t="s">
        <v>1551</v>
      </c>
      <c r="G92" s="1" t="s">
        <v>1207</v>
      </c>
      <c r="H92" s="1" t="n">
        <v>1</v>
      </c>
      <c r="I92" s="2" t="n">
        <v>198.07</v>
      </c>
      <c r="J92" s="15" t="n">
        <f aca="false">I92/H92</f>
        <v>198.07</v>
      </c>
      <c r="K92" s="3" t="n">
        <f aca="false">(L92/J92-1)*-1</f>
        <v>0.50017670520523</v>
      </c>
      <c r="L92" s="15" t="n">
        <v>99</v>
      </c>
    </row>
    <row r="93" customFormat="false" ht="13" hidden="false" customHeight="true" outlineLevel="0" collapsed="false">
      <c r="A93" s="1" t="s">
        <v>1282</v>
      </c>
      <c r="B93" s="1" t="s">
        <v>1360</v>
      </c>
      <c r="C93" s="1" t="s">
        <v>1552</v>
      </c>
      <c r="D93" s="1" t="s">
        <v>1552</v>
      </c>
      <c r="E93" s="1" t="s">
        <v>1553</v>
      </c>
      <c r="F93" s="1" t="s">
        <v>1554</v>
      </c>
      <c r="G93" s="1" t="s">
        <v>1207</v>
      </c>
      <c r="H93" s="1" t="n">
        <v>1</v>
      </c>
      <c r="I93" s="2" t="n">
        <v>11799</v>
      </c>
      <c r="J93" s="15" t="n">
        <f aca="false">I93/H93</f>
        <v>11799</v>
      </c>
      <c r="K93" s="3" t="n">
        <f aca="false">(L93/J93-1)*-1</f>
        <v>0.525468260022036</v>
      </c>
      <c r="L93" s="15" t="n">
        <v>5599</v>
      </c>
    </row>
    <row r="94" customFormat="false" ht="14" hidden="false" customHeight="false" outlineLevel="0" collapsed="false">
      <c r="A94" s="1" t="s">
        <v>1282</v>
      </c>
      <c r="B94" s="1" t="s">
        <v>1360</v>
      </c>
      <c r="C94" s="1" t="s">
        <v>1552</v>
      </c>
      <c r="D94" s="1" t="s">
        <v>1552</v>
      </c>
      <c r="E94" s="1" t="s">
        <v>1555</v>
      </c>
      <c r="F94" s="1" t="s">
        <v>1556</v>
      </c>
      <c r="G94" s="1" t="s">
        <v>1207</v>
      </c>
      <c r="H94" s="1" t="n">
        <v>1</v>
      </c>
      <c r="I94" s="2" t="n">
        <v>10279</v>
      </c>
      <c r="J94" s="15" t="n">
        <f aca="false">I94/H94</f>
        <v>10279</v>
      </c>
      <c r="K94" s="3" t="n">
        <f aca="false">(L94/J94-1)*-1</f>
        <v>0.358011479715926</v>
      </c>
      <c r="L94" s="15" t="n">
        <v>6599</v>
      </c>
    </row>
    <row r="95" customFormat="false" ht="14" hidden="false" customHeight="false" outlineLevel="0" collapsed="false">
      <c r="A95" s="1" t="s">
        <v>1282</v>
      </c>
      <c r="B95" s="1" t="s">
        <v>1360</v>
      </c>
      <c r="C95" s="1" t="s">
        <v>1552</v>
      </c>
      <c r="D95" s="1" t="s">
        <v>1552</v>
      </c>
      <c r="E95" s="1" t="s">
        <v>1557</v>
      </c>
      <c r="F95" s="1" t="s">
        <v>1558</v>
      </c>
      <c r="G95" s="1" t="s">
        <v>1207</v>
      </c>
      <c r="H95" s="1" t="n">
        <v>1</v>
      </c>
      <c r="I95" s="2" t="n">
        <v>7769</v>
      </c>
      <c r="J95" s="15" t="n">
        <f aca="false">I95/H95</f>
        <v>7769</v>
      </c>
      <c r="K95" s="3" t="n">
        <f aca="false">(L95/J95-1)*-1</f>
        <v>0.440211095379071</v>
      </c>
      <c r="L95" s="15" t="n">
        <v>4349</v>
      </c>
    </row>
    <row r="96" customFormat="false" ht="14" hidden="false" customHeight="false" outlineLevel="0" collapsed="false">
      <c r="A96" s="1" t="s">
        <v>369</v>
      </c>
      <c r="B96" s="1" t="s">
        <v>1360</v>
      </c>
      <c r="C96" s="1" t="s">
        <v>1559</v>
      </c>
      <c r="D96" s="1" t="s">
        <v>1559</v>
      </c>
      <c r="E96" s="1" t="s">
        <v>1560</v>
      </c>
      <c r="F96" s="1" t="s">
        <v>1561</v>
      </c>
      <c r="G96" s="1" t="s">
        <v>1207</v>
      </c>
      <c r="H96" s="1" t="n">
        <v>1</v>
      </c>
      <c r="I96" s="2" t="n">
        <v>9738.32</v>
      </c>
      <c r="J96" s="15" t="n">
        <f aca="false">I96/H96</f>
        <v>9738.32</v>
      </c>
      <c r="K96" s="3" t="n">
        <f aca="false">(L96/J96-1)*-1</f>
        <v>0.835803300774672</v>
      </c>
      <c r="L96" s="15" t="n">
        <v>1599</v>
      </c>
    </row>
    <row r="97" customFormat="false" ht="14" hidden="false" customHeight="false" outlineLevel="0" collapsed="false">
      <c r="A97" s="1" t="s">
        <v>369</v>
      </c>
      <c r="B97" s="1" t="s">
        <v>1360</v>
      </c>
      <c r="C97" s="1" t="s">
        <v>1559</v>
      </c>
      <c r="D97" s="1" t="s">
        <v>1559</v>
      </c>
      <c r="E97" s="1" t="s">
        <v>1562</v>
      </c>
      <c r="F97" s="1" t="s">
        <v>1563</v>
      </c>
      <c r="G97" s="1" t="s">
        <v>1207</v>
      </c>
      <c r="H97" s="1" t="n">
        <v>1</v>
      </c>
      <c r="I97" s="2" t="n">
        <v>13388.03</v>
      </c>
      <c r="J97" s="15" t="n">
        <f aca="false">I97/H97</f>
        <v>13388.03</v>
      </c>
      <c r="K97" s="3" t="n">
        <f aca="false">(L97/J97-1)*-1</f>
        <v>0.880564952423919</v>
      </c>
      <c r="L97" s="15" t="n">
        <v>1599</v>
      </c>
    </row>
    <row r="98" customFormat="false" ht="14" hidden="false" customHeight="false" outlineLevel="0" collapsed="false">
      <c r="A98" s="1" t="s">
        <v>1196</v>
      </c>
      <c r="B98" s="1" t="s">
        <v>1360</v>
      </c>
      <c r="C98" s="1" t="s">
        <v>1233</v>
      </c>
      <c r="D98" s="1" t="s">
        <v>1204</v>
      </c>
      <c r="E98" s="1" t="s">
        <v>1564</v>
      </c>
      <c r="F98" s="1" t="s">
        <v>1565</v>
      </c>
      <c r="G98" s="1" t="s">
        <v>1207</v>
      </c>
      <c r="I98" s="2" t="n">
        <v>6546</v>
      </c>
      <c r="J98" s="15" t="n">
        <v>6546</v>
      </c>
      <c r="K98" s="3" t="n">
        <f aca="false">(L98/J98-1)*-1</f>
        <v>0.560189428658723</v>
      </c>
      <c r="L98" s="15" t="n">
        <v>2879</v>
      </c>
    </row>
    <row r="99" customFormat="false" ht="14" hidden="false" customHeight="false" outlineLevel="0" collapsed="false">
      <c r="A99" s="1" t="s">
        <v>1196</v>
      </c>
      <c r="B99" s="1" t="s">
        <v>1360</v>
      </c>
      <c r="C99" s="1" t="s">
        <v>1233</v>
      </c>
      <c r="D99" s="1" t="s">
        <v>1204</v>
      </c>
      <c r="E99" s="1" t="n">
        <v>52808022</v>
      </c>
      <c r="F99" s="1" t="s">
        <v>1566</v>
      </c>
      <c r="G99" s="1" t="s">
        <v>1207</v>
      </c>
      <c r="I99" s="2" t="n">
        <v>2756</v>
      </c>
      <c r="J99" s="15" t="n">
        <v>2756</v>
      </c>
      <c r="K99" s="3" t="n">
        <f aca="false">(L99/J99-1)*-1</f>
        <v>0.445210449927431</v>
      </c>
      <c r="L99" s="15" t="n">
        <v>1529</v>
      </c>
    </row>
    <row r="100" customFormat="false" ht="14" hidden="false" customHeight="false" outlineLevel="0" collapsed="false">
      <c r="A100" s="1" t="s">
        <v>1346</v>
      </c>
      <c r="B100" s="1" t="s">
        <v>1360</v>
      </c>
      <c r="C100" s="1" t="s">
        <v>1347</v>
      </c>
      <c r="D100" s="1" t="s">
        <v>1348</v>
      </c>
      <c r="E100" s="1" t="s">
        <v>1349</v>
      </c>
      <c r="F100" s="1" t="s">
        <v>1350</v>
      </c>
      <c r="G100" s="1" t="s">
        <v>1207</v>
      </c>
      <c r="I100" s="2" t="n">
        <v>2459</v>
      </c>
      <c r="J100" s="15" t="n">
        <v>2459</v>
      </c>
      <c r="K100" s="3" t="n">
        <f aca="false">(L100/J100-1)*-1</f>
        <v>0.553070353802359</v>
      </c>
      <c r="L100" s="15" t="n">
        <v>1099</v>
      </c>
    </row>
    <row r="101" customFormat="false" ht="14" hidden="false" customHeight="false" outlineLevel="0" collapsed="false">
      <c r="A101" s="1" t="s">
        <v>1346</v>
      </c>
      <c r="B101" s="1" t="s">
        <v>1360</v>
      </c>
      <c r="C101" s="1" t="s">
        <v>1347</v>
      </c>
      <c r="D101" s="1" t="s">
        <v>1348</v>
      </c>
      <c r="E101" s="1" t="s">
        <v>1351</v>
      </c>
      <c r="F101" s="1" t="s">
        <v>1352</v>
      </c>
      <c r="G101" s="1" t="s">
        <v>1207</v>
      </c>
      <c r="I101" s="2" t="n">
        <v>2169</v>
      </c>
      <c r="J101" s="15" t="n">
        <v>2169</v>
      </c>
      <c r="K101" s="3" t="n">
        <f aca="false">(L101/J101-1)*-1</f>
        <v>0.355002305209774</v>
      </c>
      <c r="L101" s="15" t="n">
        <v>1399</v>
      </c>
    </row>
    <row r="102" customFormat="false" ht="14" hidden="false" customHeight="false" outlineLevel="0" collapsed="false">
      <c r="A102" s="1" t="s">
        <v>1346</v>
      </c>
      <c r="B102" s="1" t="s">
        <v>1360</v>
      </c>
      <c r="C102" s="1" t="s">
        <v>1347</v>
      </c>
      <c r="D102" s="1" t="s">
        <v>1348</v>
      </c>
      <c r="E102" s="1" t="s">
        <v>1353</v>
      </c>
      <c r="F102" s="1" t="s">
        <v>1354</v>
      </c>
      <c r="G102" s="1" t="s">
        <v>1207</v>
      </c>
      <c r="I102" s="2" t="n">
        <v>2129</v>
      </c>
      <c r="J102" s="15" t="n">
        <v>2129</v>
      </c>
      <c r="K102" s="3" t="n">
        <f aca="false">(L102/J102-1)*-1</f>
        <v>0.201972757162987</v>
      </c>
      <c r="L102" s="15" t="n">
        <v>1699</v>
      </c>
    </row>
    <row r="103" customFormat="false" ht="14" hidden="false" customHeight="false" outlineLevel="0" collapsed="false">
      <c r="A103" s="1" t="s">
        <v>1346</v>
      </c>
      <c r="B103" s="1" t="s">
        <v>1360</v>
      </c>
      <c r="C103" s="1" t="s">
        <v>1347</v>
      </c>
      <c r="D103" s="1" t="s">
        <v>1348</v>
      </c>
      <c r="E103" s="1" t="s">
        <v>1355</v>
      </c>
      <c r="F103" s="1" t="s">
        <v>1356</v>
      </c>
      <c r="G103" s="1" t="s">
        <v>1207</v>
      </c>
      <c r="I103" s="2" t="n">
        <v>2699</v>
      </c>
      <c r="J103" s="15" t="n">
        <v>2699</v>
      </c>
      <c r="K103" s="3" t="n">
        <f aca="false">(L103/J103-1)*-1</f>
        <v>0.592812152649129</v>
      </c>
      <c r="L103" s="15" t="n">
        <v>1099</v>
      </c>
    </row>
    <row r="104" s="1" customFormat="true" ht="14" hidden="false" customHeight="false" outlineLevel="0" collapsed="false">
      <c r="A104" s="1" t="s">
        <v>1567</v>
      </c>
      <c r="B104" s="1" t="s">
        <v>1360</v>
      </c>
      <c r="C104" s="1" t="s">
        <v>1568</v>
      </c>
      <c r="D104" s="1" t="s">
        <v>1569</v>
      </c>
      <c r="E104" s="1" t="s">
        <v>1570</v>
      </c>
      <c r="F104" s="1" t="s">
        <v>1571</v>
      </c>
      <c r="G104" s="1" t="s">
        <v>1207</v>
      </c>
      <c r="I104" s="2" t="n">
        <v>1109</v>
      </c>
      <c r="J104" s="15" t="n">
        <v>1109</v>
      </c>
      <c r="K104" s="3" t="n">
        <f aca="false">(L104/J104-1)*-1</f>
        <v>0.459873760144274</v>
      </c>
      <c r="L104" s="15" t="n">
        <v>599</v>
      </c>
    </row>
    <row r="105" s="1" customFormat="true" ht="14" hidden="false" customHeight="false" outlineLevel="0" collapsed="false">
      <c r="A105" s="1" t="s">
        <v>1567</v>
      </c>
      <c r="B105" s="1" t="s">
        <v>1360</v>
      </c>
      <c r="C105" s="1" t="s">
        <v>1568</v>
      </c>
      <c r="D105" s="1" t="s">
        <v>1569</v>
      </c>
      <c r="E105" s="1" t="s">
        <v>1572</v>
      </c>
      <c r="F105" s="1" t="s">
        <v>1573</v>
      </c>
      <c r="G105" s="1" t="s">
        <v>1207</v>
      </c>
      <c r="I105" s="2" t="n">
        <v>1389</v>
      </c>
      <c r="J105" s="15" t="n">
        <v>1389</v>
      </c>
      <c r="K105" s="3" t="n">
        <f aca="false">(L105/J105-1)*-1</f>
        <v>0.532757379409647</v>
      </c>
      <c r="L105" s="15" t="n">
        <v>649</v>
      </c>
    </row>
    <row r="106" s="1" customFormat="true" ht="14" hidden="false" customHeight="false" outlineLevel="0" collapsed="false">
      <c r="A106" s="1" t="s">
        <v>1567</v>
      </c>
      <c r="B106" s="1" t="s">
        <v>1360</v>
      </c>
      <c r="C106" s="1" t="s">
        <v>1568</v>
      </c>
      <c r="D106" s="1" t="s">
        <v>1569</v>
      </c>
      <c r="E106" s="1" t="s">
        <v>1574</v>
      </c>
      <c r="F106" s="1" t="s">
        <v>1575</v>
      </c>
      <c r="G106" s="1" t="s">
        <v>1207</v>
      </c>
      <c r="I106" s="2" t="n">
        <v>2309</v>
      </c>
      <c r="J106" s="15" t="n">
        <v>2309</v>
      </c>
      <c r="K106" s="3" t="n">
        <f aca="false">(L106/J106-1)*-1</f>
        <v>0.653962754439151</v>
      </c>
      <c r="L106" s="15" t="n">
        <v>799</v>
      </c>
    </row>
    <row r="107" s="1" customFormat="true" ht="14" hidden="false" customHeight="false" outlineLevel="0" collapsed="false">
      <c r="A107" s="1" t="s">
        <v>1567</v>
      </c>
      <c r="B107" s="1" t="s">
        <v>1360</v>
      </c>
      <c r="C107" s="1" t="s">
        <v>1568</v>
      </c>
      <c r="D107" s="1" t="s">
        <v>1569</v>
      </c>
      <c r="E107" s="1" t="s">
        <v>1576</v>
      </c>
      <c r="F107" s="1" t="s">
        <v>1577</v>
      </c>
      <c r="G107" s="1" t="s">
        <v>1207</v>
      </c>
      <c r="I107" s="2" t="n">
        <v>1939</v>
      </c>
      <c r="J107" s="15" t="n">
        <v>1939</v>
      </c>
      <c r="K107" s="3" t="n">
        <f aca="false">(L107/J107-1)*-1</f>
        <v>0.484785972150593</v>
      </c>
      <c r="L107" s="15" t="n">
        <v>999</v>
      </c>
    </row>
    <row r="108" s="1" customFormat="true" ht="14" hidden="false" customHeight="false" outlineLevel="0" collapsed="false">
      <c r="A108" s="1" t="s">
        <v>1567</v>
      </c>
      <c r="B108" s="1" t="s">
        <v>1360</v>
      </c>
      <c r="C108" s="1" t="s">
        <v>1568</v>
      </c>
      <c r="D108" s="1" t="s">
        <v>1569</v>
      </c>
      <c r="E108" s="1" t="s">
        <v>1578</v>
      </c>
      <c r="F108" s="1" t="s">
        <v>1579</v>
      </c>
      <c r="G108" s="1" t="s">
        <v>1207</v>
      </c>
      <c r="I108" s="2" t="n">
        <v>2569</v>
      </c>
      <c r="J108" s="15" t="n">
        <v>2569</v>
      </c>
      <c r="K108" s="3" t="n">
        <f aca="false">(L108/J108-1)*-1</f>
        <v>0.548851693265862</v>
      </c>
      <c r="L108" s="15" t="n">
        <v>1159</v>
      </c>
    </row>
    <row r="109" s="1" customFormat="true" ht="14" hidden="false" customHeight="false" outlineLevel="0" collapsed="false">
      <c r="A109" s="1" t="s">
        <v>1567</v>
      </c>
      <c r="B109" s="1" t="s">
        <v>1360</v>
      </c>
      <c r="C109" s="1" t="s">
        <v>1568</v>
      </c>
      <c r="D109" s="1" t="s">
        <v>1569</v>
      </c>
      <c r="E109" s="1" t="s">
        <v>1580</v>
      </c>
      <c r="F109" s="1" t="s">
        <v>1581</v>
      </c>
      <c r="G109" s="1" t="s">
        <v>1207</v>
      </c>
      <c r="I109" s="2" t="n">
        <v>2029</v>
      </c>
      <c r="J109" s="15" t="n">
        <v>2029</v>
      </c>
      <c r="K109" s="3" t="n">
        <f aca="false">(L109/J109-1)*-1</f>
        <v>0.507639231148349</v>
      </c>
      <c r="L109" s="15" t="n">
        <v>999</v>
      </c>
    </row>
    <row r="110" s="1" customFormat="true" ht="14" hidden="false" customHeight="false" outlineLevel="0" collapsed="false">
      <c r="A110" s="1" t="s">
        <v>1567</v>
      </c>
      <c r="B110" s="1" t="s">
        <v>1360</v>
      </c>
      <c r="C110" s="1" t="s">
        <v>1568</v>
      </c>
      <c r="D110" s="1" t="s">
        <v>1569</v>
      </c>
      <c r="E110" s="1" t="s">
        <v>1582</v>
      </c>
      <c r="F110" s="1" t="s">
        <v>1583</v>
      </c>
      <c r="G110" s="1" t="s">
        <v>1207</v>
      </c>
      <c r="I110" s="2" t="n">
        <v>2399</v>
      </c>
      <c r="J110" s="15" t="n">
        <v>2399</v>
      </c>
      <c r="K110" s="3" t="n">
        <f aca="false">(L110/J110-1)*-1</f>
        <v>0.541892455189662</v>
      </c>
      <c r="L110" s="15" t="n">
        <v>1099</v>
      </c>
    </row>
    <row r="111" s="1" customFormat="true" ht="14" hidden="false" customHeight="false" outlineLevel="0" collapsed="false">
      <c r="A111" s="1" t="s">
        <v>1567</v>
      </c>
      <c r="B111" s="1" t="s">
        <v>1360</v>
      </c>
      <c r="C111" s="1" t="s">
        <v>1568</v>
      </c>
      <c r="D111" s="1" t="s">
        <v>1569</v>
      </c>
      <c r="E111" s="1" t="s">
        <v>1584</v>
      </c>
      <c r="F111" s="1" t="s">
        <v>1585</v>
      </c>
      <c r="G111" s="1" t="s">
        <v>1207</v>
      </c>
      <c r="I111" s="2" t="n">
        <v>2029</v>
      </c>
      <c r="J111" s="15" t="n">
        <v>2029</v>
      </c>
      <c r="K111" s="3" t="n">
        <f aca="false">(L111/J111-1)*-1</f>
        <v>0.458353868900936</v>
      </c>
      <c r="L111" s="15" t="n">
        <v>1099</v>
      </c>
    </row>
    <row r="112" s="1" customFormat="true" ht="14" hidden="false" customHeight="false" outlineLevel="0" collapsed="false">
      <c r="A112" s="1" t="s">
        <v>1567</v>
      </c>
      <c r="B112" s="1" t="s">
        <v>1360</v>
      </c>
      <c r="C112" s="1" t="s">
        <v>1568</v>
      </c>
      <c r="D112" s="1" t="s">
        <v>1569</v>
      </c>
      <c r="E112" s="1" t="s">
        <v>1586</v>
      </c>
      <c r="F112" s="1" t="s">
        <v>1587</v>
      </c>
      <c r="G112" s="1" t="s">
        <v>1207</v>
      </c>
      <c r="I112" s="2" t="n">
        <v>2029</v>
      </c>
      <c r="J112" s="15" t="n">
        <v>2029</v>
      </c>
      <c r="K112" s="3" t="n">
        <f aca="false">(L112/J112-1)*-1</f>
        <v>0.359783144406111</v>
      </c>
      <c r="L112" s="15" t="n">
        <v>1299</v>
      </c>
    </row>
    <row r="113" s="1" customFormat="true" ht="14" hidden="false" customHeight="false" outlineLevel="0" collapsed="false">
      <c r="A113" s="1" t="s">
        <v>1567</v>
      </c>
      <c r="B113" s="1" t="s">
        <v>1360</v>
      </c>
      <c r="C113" s="1" t="s">
        <v>1568</v>
      </c>
      <c r="D113" s="1" t="s">
        <v>1588</v>
      </c>
      <c r="E113" s="1" t="s">
        <v>1589</v>
      </c>
      <c r="F113" s="1" t="s">
        <v>1590</v>
      </c>
      <c r="G113" s="1" t="s">
        <v>1207</v>
      </c>
      <c r="I113" s="2" t="n">
        <v>4609</v>
      </c>
      <c r="J113" s="15" t="n">
        <v>4609</v>
      </c>
      <c r="K113" s="3" t="n">
        <f aca="false">(L113/J113-1)*-1</f>
        <v>0.674766760685615</v>
      </c>
      <c r="L113" s="15" t="n">
        <v>1499</v>
      </c>
    </row>
    <row r="114" s="1" customFormat="true" ht="14" hidden="false" customHeight="false" outlineLevel="0" collapsed="false">
      <c r="A114" s="1" t="s">
        <v>1567</v>
      </c>
      <c r="B114" s="1" t="s">
        <v>1360</v>
      </c>
      <c r="C114" s="1" t="s">
        <v>1568</v>
      </c>
      <c r="D114" s="1" t="s">
        <v>1588</v>
      </c>
      <c r="E114" s="1" t="s">
        <v>1591</v>
      </c>
      <c r="F114" s="1" t="s">
        <v>1592</v>
      </c>
      <c r="G114" s="1" t="s">
        <v>1207</v>
      </c>
      <c r="I114" s="2" t="n">
        <v>2539</v>
      </c>
      <c r="J114" s="15" t="n">
        <v>2539</v>
      </c>
      <c r="K114" s="3" t="n">
        <f aca="false">(L114/J114-1)*-1</f>
        <v>0.271760535643954</v>
      </c>
      <c r="L114" s="15" t="n">
        <v>1849</v>
      </c>
    </row>
    <row r="115" customFormat="false" ht="14" hidden="false" customHeight="false" outlineLevel="0" collapsed="false">
      <c r="A115" s="1" t="s">
        <v>1567</v>
      </c>
      <c r="B115" s="1" t="s">
        <v>1360</v>
      </c>
      <c r="C115" s="1" t="s">
        <v>1568</v>
      </c>
      <c r="D115" s="1" t="s">
        <v>1588</v>
      </c>
      <c r="E115" s="1" t="s">
        <v>1593</v>
      </c>
      <c r="F115" s="1" t="s">
        <v>1594</v>
      </c>
      <c r="G115" s="1" t="s">
        <v>1207</v>
      </c>
      <c r="I115" s="2" t="n">
        <v>1999</v>
      </c>
      <c r="J115" s="15" t="n">
        <v>1999</v>
      </c>
      <c r="K115" s="3" t="n">
        <f aca="false">(L115/J115-1)*-1</f>
        <v>0.500250125062531</v>
      </c>
      <c r="L115" s="15" t="n">
        <v>999</v>
      </c>
    </row>
    <row r="116" customFormat="false" ht="14" hidden="false" customHeight="false" outlineLevel="0" collapsed="false">
      <c r="A116" s="1" t="s">
        <v>1567</v>
      </c>
      <c r="B116" s="1" t="s">
        <v>1360</v>
      </c>
      <c r="C116" s="1" t="s">
        <v>1568</v>
      </c>
      <c r="D116" s="1" t="s">
        <v>1588</v>
      </c>
      <c r="E116" s="1" t="s">
        <v>1595</v>
      </c>
      <c r="F116" s="1" t="s">
        <v>1596</v>
      </c>
      <c r="G116" s="1" t="s">
        <v>1207</v>
      </c>
      <c r="I116" s="2" t="n">
        <v>4799</v>
      </c>
      <c r="J116" s="15" t="n">
        <v>4799</v>
      </c>
      <c r="K116" s="3" t="n">
        <f aca="false">(L116/J116-1)*-1</f>
        <v>0.687643259012294</v>
      </c>
      <c r="L116" s="15" t="n">
        <v>1499</v>
      </c>
    </row>
    <row r="117" customFormat="false" ht="14" hidden="false" customHeight="false" outlineLevel="0" collapsed="false">
      <c r="A117" s="1" t="s">
        <v>1597</v>
      </c>
      <c r="B117" s="1" t="s">
        <v>1360</v>
      </c>
      <c r="C117" s="1" t="s">
        <v>21</v>
      </c>
      <c r="D117" s="1" t="s">
        <v>46</v>
      </c>
      <c r="E117" s="1" t="s">
        <v>1598</v>
      </c>
      <c r="F117" s="1" t="s">
        <v>1599</v>
      </c>
      <c r="G117" s="1" t="s">
        <v>24</v>
      </c>
      <c r="H117" s="1" t="n">
        <v>1.44</v>
      </c>
      <c r="I117" s="2" t="n">
        <v>926</v>
      </c>
      <c r="J117" s="15" t="n">
        <f aca="false">I117/H117</f>
        <v>643.055555555556</v>
      </c>
      <c r="K117" s="3" t="n">
        <f aca="false">(L117/J117-1)*-1</f>
        <v>0.550583153347732</v>
      </c>
      <c r="L117" s="15" t="n">
        <v>289</v>
      </c>
    </row>
    <row r="118" customFormat="false" ht="14" hidden="false" customHeight="false" outlineLevel="0" collapsed="false">
      <c r="A118" s="1" t="s">
        <v>1597</v>
      </c>
      <c r="B118" s="1" t="s">
        <v>1360</v>
      </c>
      <c r="C118" s="1" t="s">
        <v>21</v>
      </c>
      <c r="D118" s="1" t="s">
        <v>46</v>
      </c>
      <c r="E118" s="1" t="s">
        <v>1600</v>
      </c>
      <c r="F118" s="1" t="s">
        <v>1601</v>
      </c>
      <c r="G118" s="1" t="s">
        <v>24</v>
      </c>
      <c r="H118" s="1" t="n">
        <v>1.62</v>
      </c>
      <c r="I118" s="2" t="n">
        <v>679</v>
      </c>
      <c r="J118" s="15" t="n">
        <f aca="false">I118/H118</f>
        <v>419.135802469136</v>
      </c>
      <c r="K118" s="3" t="n">
        <f aca="false">(L118/J118-1)*-1</f>
        <v>0.525213549337261</v>
      </c>
      <c r="L118" s="15" t="n">
        <v>199</v>
      </c>
    </row>
    <row r="119" customFormat="false" ht="14" hidden="false" customHeight="false" outlineLevel="0" collapsed="false">
      <c r="A119" s="1" t="s">
        <v>1597</v>
      </c>
      <c r="B119" s="1" t="s">
        <v>1360</v>
      </c>
      <c r="C119" s="1" t="s">
        <v>21</v>
      </c>
      <c r="D119" s="1" t="s">
        <v>46</v>
      </c>
      <c r="E119" s="1" t="s">
        <v>1602</v>
      </c>
      <c r="F119" s="1" t="s">
        <v>1603</v>
      </c>
      <c r="G119" s="1" t="s">
        <v>24</v>
      </c>
      <c r="H119" s="1" t="n">
        <v>1.44</v>
      </c>
      <c r="I119" s="2" t="n">
        <v>561</v>
      </c>
      <c r="J119" s="15" t="n">
        <f aca="false">I119/H119</f>
        <v>389.583333333333</v>
      </c>
      <c r="K119" s="3" t="n">
        <f aca="false">(L119/J119-1)*-1</f>
        <v>0.617540106951872</v>
      </c>
      <c r="L119" s="15" t="n">
        <v>149</v>
      </c>
    </row>
    <row r="120" customFormat="false" ht="14" hidden="false" customHeight="false" outlineLevel="0" collapsed="false">
      <c r="A120" s="1" t="s">
        <v>1597</v>
      </c>
      <c r="B120" s="1" t="s">
        <v>1360</v>
      </c>
      <c r="C120" s="1" t="s">
        <v>21</v>
      </c>
      <c r="D120" s="1" t="s">
        <v>46</v>
      </c>
      <c r="E120" s="1" t="s">
        <v>1604</v>
      </c>
      <c r="F120" s="1" t="s">
        <v>1605</v>
      </c>
      <c r="G120" s="1" t="s">
        <v>24</v>
      </c>
      <c r="H120" s="1" t="n">
        <v>1.6</v>
      </c>
      <c r="I120" s="2" t="n">
        <v>569</v>
      </c>
      <c r="J120" s="15" t="n">
        <f aca="false">I120/H120</f>
        <v>355.625</v>
      </c>
      <c r="K120" s="3" t="n">
        <f aca="false">(L120/J120-1)*-1</f>
        <v>0.215465729349736</v>
      </c>
      <c r="L120" s="15" t="n">
        <v>279</v>
      </c>
    </row>
    <row r="121" customFormat="false" ht="14" hidden="false" customHeight="false" outlineLevel="0" collapsed="false">
      <c r="A121" s="1" t="s">
        <v>1597</v>
      </c>
      <c r="B121" s="1" t="s">
        <v>1360</v>
      </c>
      <c r="C121" s="1" t="s">
        <v>21</v>
      </c>
      <c r="D121" s="1" t="s">
        <v>46</v>
      </c>
      <c r="E121" s="1" t="s">
        <v>1606</v>
      </c>
      <c r="F121" s="1" t="s">
        <v>1607</v>
      </c>
      <c r="G121" s="1" t="s">
        <v>24</v>
      </c>
      <c r="H121" s="1" t="n">
        <v>2.19</v>
      </c>
      <c r="I121" s="2" t="n">
        <v>1547</v>
      </c>
      <c r="J121" s="15" t="n">
        <f aca="false">I121/H121</f>
        <v>706.392694063927</v>
      </c>
      <c r="K121" s="3" t="n">
        <f aca="false">(L121/J121-1)*-1</f>
        <v>0.307750484809308</v>
      </c>
      <c r="L121" s="15" t="n">
        <v>489</v>
      </c>
    </row>
    <row r="122" customFormat="false" ht="14" hidden="false" customHeight="false" outlineLevel="0" collapsed="false">
      <c r="A122" s="1" t="s">
        <v>1597</v>
      </c>
      <c r="B122" s="1" t="s">
        <v>1360</v>
      </c>
      <c r="C122" s="1" t="s">
        <v>21</v>
      </c>
      <c r="D122" s="1" t="s">
        <v>46</v>
      </c>
      <c r="E122" s="1" t="s">
        <v>1608</v>
      </c>
      <c r="F122" s="1" t="s">
        <v>1609</v>
      </c>
      <c r="G122" s="1" t="s">
        <v>24</v>
      </c>
      <c r="H122" s="1" t="n">
        <v>1.72</v>
      </c>
      <c r="I122" s="2" t="n">
        <v>866.96</v>
      </c>
      <c r="J122" s="15" t="n">
        <f aca="false">I122/H122</f>
        <v>504.046511627907</v>
      </c>
      <c r="K122" s="3" t="n">
        <f aca="false">(L122/J122-1)*-1</f>
        <v>0.367121897204023</v>
      </c>
      <c r="L122" s="15" t="n">
        <v>319</v>
      </c>
    </row>
    <row r="123" customFormat="false" ht="14" hidden="false" customHeight="false" outlineLevel="0" collapsed="false">
      <c r="A123" s="1" t="s">
        <v>1597</v>
      </c>
      <c r="B123" s="1" t="s">
        <v>1360</v>
      </c>
      <c r="C123" s="1" t="s">
        <v>21</v>
      </c>
      <c r="D123" s="1" t="s">
        <v>46</v>
      </c>
      <c r="E123" s="1" t="s">
        <v>1610</v>
      </c>
      <c r="F123" s="1" t="s">
        <v>1611</v>
      </c>
      <c r="G123" s="1" t="s">
        <v>24</v>
      </c>
      <c r="H123" s="1" t="n">
        <v>1.62</v>
      </c>
      <c r="I123" s="2" t="n">
        <v>659</v>
      </c>
      <c r="J123" s="15" t="n">
        <f aca="false">I123/H123</f>
        <v>406.79012345679</v>
      </c>
      <c r="K123" s="3" t="n">
        <f aca="false">(L123/J123-1)*-1</f>
        <v>0.338725341426404</v>
      </c>
      <c r="L123" s="15" t="n">
        <v>269</v>
      </c>
    </row>
    <row r="124" customFormat="false" ht="14" hidden="false" customHeight="false" outlineLevel="0" collapsed="false">
      <c r="A124" s="1" t="s">
        <v>1597</v>
      </c>
      <c r="B124" s="1" t="s">
        <v>1360</v>
      </c>
      <c r="C124" s="1" t="s">
        <v>21</v>
      </c>
      <c r="D124" s="1" t="s">
        <v>46</v>
      </c>
      <c r="E124" s="1" t="s">
        <v>1612</v>
      </c>
      <c r="F124" s="1" t="s">
        <v>1613</v>
      </c>
      <c r="G124" s="1" t="s">
        <v>24</v>
      </c>
      <c r="H124" s="1" t="n">
        <v>1.62</v>
      </c>
      <c r="I124" s="2" t="n">
        <v>679</v>
      </c>
      <c r="J124" s="15" t="n">
        <f aca="false">I124/H124</f>
        <v>419.135802469136</v>
      </c>
      <c r="K124" s="3" t="n">
        <f aca="false">(L124/J124-1)*-1</f>
        <v>0.525213549337261</v>
      </c>
      <c r="L124" s="15" t="n">
        <v>199</v>
      </c>
    </row>
    <row r="125" customFormat="false" ht="14" hidden="false" customHeight="false" outlineLevel="0" collapsed="false">
      <c r="A125" s="1" t="s">
        <v>1597</v>
      </c>
      <c r="B125" s="1" t="s">
        <v>1360</v>
      </c>
      <c r="C125" s="1" t="s">
        <v>21</v>
      </c>
      <c r="D125" s="1" t="s">
        <v>46</v>
      </c>
      <c r="E125" s="1" t="s">
        <v>1614</v>
      </c>
      <c r="F125" s="1" t="s">
        <v>1615</v>
      </c>
      <c r="G125" s="1" t="s">
        <v>24</v>
      </c>
      <c r="H125" s="1" t="n">
        <v>1.8</v>
      </c>
      <c r="I125" s="2" t="n">
        <v>629.76</v>
      </c>
      <c r="J125" s="15" t="n">
        <f aca="false">I125/H125</f>
        <v>349.866666666667</v>
      </c>
      <c r="K125" s="3" t="n">
        <f aca="false">(L125/J125-1)*-1</f>
        <v>0.34546493902439</v>
      </c>
      <c r="L125" s="15" t="n">
        <v>229</v>
      </c>
    </row>
    <row r="126" customFormat="false" ht="14" hidden="false" customHeight="false" outlineLevel="0" collapsed="false">
      <c r="A126" s="1" t="s">
        <v>1597</v>
      </c>
      <c r="B126" s="1" t="s">
        <v>1360</v>
      </c>
      <c r="C126" s="1" t="s">
        <v>21</v>
      </c>
      <c r="D126" s="1" t="s">
        <v>46</v>
      </c>
      <c r="E126" s="1" t="s">
        <v>1616</v>
      </c>
      <c r="F126" s="1" t="s">
        <v>1617</v>
      </c>
      <c r="G126" s="1" t="s">
        <v>24</v>
      </c>
      <c r="H126" s="1" t="n">
        <v>1.82</v>
      </c>
      <c r="I126" s="2" t="n">
        <v>521</v>
      </c>
      <c r="J126" s="15" t="n">
        <f aca="false">I126/H126</f>
        <v>286.263736263736</v>
      </c>
      <c r="K126" s="3" t="n">
        <f aca="false">(L126/J126-1)*-1</f>
        <v>0.374702495201535</v>
      </c>
      <c r="L126" s="15" t="n">
        <v>179</v>
      </c>
    </row>
    <row r="127" customFormat="false" ht="14" hidden="false" customHeight="false" outlineLevel="0" collapsed="false">
      <c r="A127" s="1" t="s">
        <v>1597</v>
      </c>
      <c r="B127" s="1" t="s">
        <v>1360</v>
      </c>
      <c r="C127" s="1" t="s">
        <v>21</v>
      </c>
      <c r="D127" s="1" t="s">
        <v>46</v>
      </c>
      <c r="E127" s="1" t="s">
        <v>1618</v>
      </c>
      <c r="F127" s="1" t="s">
        <v>1619</v>
      </c>
      <c r="G127" s="1" t="s">
        <v>24</v>
      </c>
      <c r="H127" s="1" t="n">
        <v>1.6</v>
      </c>
      <c r="I127" s="2" t="n">
        <v>559</v>
      </c>
      <c r="J127" s="15" t="n">
        <f aca="false">I127/H127</f>
        <v>349.375</v>
      </c>
      <c r="K127" s="3" t="n">
        <f aca="false">(L127/J127-1)*-1</f>
        <v>0.201431127012522</v>
      </c>
      <c r="L127" s="15" t="n">
        <v>279</v>
      </c>
    </row>
    <row r="128" customFormat="false" ht="14" hidden="false" customHeight="false" outlineLevel="0" collapsed="false">
      <c r="A128" s="1" t="s">
        <v>1597</v>
      </c>
      <c r="B128" s="1" t="s">
        <v>1360</v>
      </c>
      <c r="C128" s="1" t="s">
        <v>21</v>
      </c>
      <c r="D128" s="1" t="s">
        <v>46</v>
      </c>
      <c r="E128" s="1" t="s">
        <v>1620</v>
      </c>
      <c r="F128" s="1" t="s">
        <v>1621</v>
      </c>
      <c r="G128" s="1" t="s">
        <v>24</v>
      </c>
      <c r="H128" s="1" t="n">
        <v>1.16</v>
      </c>
      <c r="I128" s="2" t="n">
        <v>809</v>
      </c>
      <c r="J128" s="15" t="n">
        <f aca="false">I128/H128</f>
        <v>697.413793103448</v>
      </c>
      <c r="K128" s="3" t="n">
        <f aca="false">(L128/J128-1)*-1</f>
        <v>0.35619283065513</v>
      </c>
      <c r="L128" s="15" t="n">
        <v>449</v>
      </c>
    </row>
    <row r="129" customFormat="false" ht="14" hidden="false" customHeight="false" outlineLevel="0" collapsed="false">
      <c r="A129" s="1" t="s">
        <v>1597</v>
      </c>
      <c r="B129" s="1" t="s">
        <v>1360</v>
      </c>
      <c r="C129" s="1" t="s">
        <v>21</v>
      </c>
      <c r="D129" s="1" t="s">
        <v>46</v>
      </c>
      <c r="E129" s="1" t="s">
        <v>1622</v>
      </c>
      <c r="F129" s="1" t="s">
        <v>1623</v>
      </c>
      <c r="G129" s="1" t="s">
        <v>24</v>
      </c>
      <c r="H129" s="1" t="n">
        <v>1.81</v>
      </c>
      <c r="I129" s="2" t="n">
        <v>649</v>
      </c>
      <c r="J129" s="15" t="n">
        <f aca="false">I129/H129</f>
        <v>358.563535911602</v>
      </c>
      <c r="K129" s="3" t="n">
        <f aca="false">(L129/J129-1)*-1</f>
        <v>0.277673343605547</v>
      </c>
      <c r="L129" s="15" t="n">
        <v>259</v>
      </c>
    </row>
    <row r="130" customFormat="false" ht="14" hidden="false" customHeight="false" outlineLevel="0" collapsed="false">
      <c r="A130" s="1" t="s">
        <v>1597</v>
      </c>
      <c r="B130" s="1" t="s">
        <v>1360</v>
      </c>
      <c r="C130" s="1" t="s">
        <v>21</v>
      </c>
      <c r="D130" s="1" t="s">
        <v>46</v>
      </c>
      <c r="E130" s="1" t="s">
        <v>1624</v>
      </c>
      <c r="F130" s="1" t="s">
        <v>1625</v>
      </c>
      <c r="G130" s="1" t="s">
        <v>24</v>
      </c>
      <c r="H130" s="1" t="n">
        <v>1.81</v>
      </c>
      <c r="I130" s="2" t="n">
        <v>649</v>
      </c>
      <c r="J130" s="15" t="n">
        <f aca="false">I130/H130</f>
        <v>358.563535911602</v>
      </c>
      <c r="K130" s="3" t="n">
        <f aca="false">(L130/J130-1)*-1</f>
        <v>0.277673343605547</v>
      </c>
      <c r="L130" s="15" t="n">
        <v>259</v>
      </c>
    </row>
    <row r="131" customFormat="false" ht="14" hidden="false" customHeight="false" outlineLevel="0" collapsed="false">
      <c r="A131" s="1" t="s">
        <v>1597</v>
      </c>
      <c r="B131" s="1" t="s">
        <v>1360</v>
      </c>
      <c r="C131" s="1" t="s">
        <v>21</v>
      </c>
      <c r="D131" s="1" t="s">
        <v>46</v>
      </c>
      <c r="E131" s="1" t="s">
        <v>1626</v>
      </c>
      <c r="F131" s="1" t="s">
        <v>1627</v>
      </c>
      <c r="G131" s="1" t="s">
        <v>24</v>
      </c>
      <c r="H131" s="1" t="n">
        <v>1.2</v>
      </c>
      <c r="I131" s="2" t="n">
        <v>490</v>
      </c>
      <c r="J131" s="15" t="n">
        <f aca="false">I131/H131</f>
        <v>408.333333333333</v>
      </c>
      <c r="K131" s="3" t="n">
        <f aca="false">(L131/J131-1)*-1</f>
        <v>0.365714285714286</v>
      </c>
      <c r="L131" s="15" t="n">
        <v>259</v>
      </c>
    </row>
    <row r="132" customFormat="false" ht="14" hidden="false" customHeight="false" outlineLevel="0" collapsed="false">
      <c r="A132" s="1" t="s">
        <v>1597</v>
      </c>
      <c r="B132" s="1" t="s">
        <v>1360</v>
      </c>
      <c r="C132" s="1" t="s">
        <v>21</v>
      </c>
      <c r="D132" s="1" t="s">
        <v>46</v>
      </c>
      <c r="E132" s="1" t="s">
        <v>1628</v>
      </c>
      <c r="F132" s="1" t="s">
        <v>1629</v>
      </c>
      <c r="G132" s="1" t="s">
        <v>24</v>
      </c>
      <c r="H132" s="1" t="n">
        <v>1.37</v>
      </c>
      <c r="I132" s="2" t="n">
        <v>899</v>
      </c>
      <c r="J132" s="15" t="n">
        <f aca="false">I132/H132</f>
        <v>656.204379562044</v>
      </c>
      <c r="K132" s="3" t="n">
        <f aca="false">(L132/J132-1)*-1</f>
        <v>0.315761957730812</v>
      </c>
      <c r="L132" s="15" t="n">
        <v>449</v>
      </c>
    </row>
    <row r="133" customFormat="false" ht="14" hidden="false" customHeight="false" outlineLevel="0" collapsed="false">
      <c r="A133" s="1" t="s">
        <v>1597</v>
      </c>
      <c r="B133" s="1" t="s">
        <v>1360</v>
      </c>
      <c r="C133" s="1" t="s">
        <v>21</v>
      </c>
      <c r="D133" s="1" t="s">
        <v>46</v>
      </c>
      <c r="E133" s="1" t="s">
        <v>1630</v>
      </c>
      <c r="F133" s="1" t="s">
        <v>1631</v>
      </c>
      <c r="G133" s="1" t="s">
        <v>24</v>
      </c>
      <c r="H133" s="1" t="n">
        <v>1.36</v>
      </c>
      <c r="I133" s="2" t="n">
        <v>479</v>
      </c>
      <c r="J133" s="15" t="n">
        <f aca="false">I133/H133</f>
        <v>352.205882352941</v>
      </c>
      <c r="K133" s="3" t="n">
        <f aca="false">(L133/J133-1)*-1</f>
        <v>0.349812108559499</v>
      </c>
      <c r="L133" s="15" t="n">
        <v>229</v>
      </c>
    </row>
    <row r="134" customFormat="false" ht="14" hidden="false" customHeight="false" outlineLevel="0" collapsed="false">
      <c r="A134" s="1" t="s">
        <v>1597</v>
      </c>
      <c r="B134" s="1" t="s">
        <v>1360</v>
      </c>
      <c r="C134" s="1" t="s">
        <v>21</v>
      </c>
      <c r="D134" s="1" t="s">
        <v>46</v>
      </c>
      <c r="E134" s="1" t="s">
        <v>1632</v>
      </c>
      <c r="F134" s="1" t="s">
        <v>1633</v>
      </c>
      <c r="G134" s="1" t="s">
        <v>24</v>
      </c>
      <c r="H134" s="1" t="n">
        <v>1.6</v>
      </c>
      <c r="I134" s="2" t="n">
        <v>569</v>
      </c>
      <c r="J134" s="15" t="n">
        <f aca="false">I134/H134</f>
        <v>355.625</v>
      </c>
      <c r="K134" s="3" t="n">
        <f aca="false">(L134/J134-1)*-1</f>
        <v>0.356063268892794</v>
      </c>
      <c r="L134" s="15" t="n">
        <v>229</v>
      </c>
    </row>
    <row r="135" customFormat="false" ht="14" hidden="false" customHeight="false" outlineLevel="0" collapsed="false">
      <c r="A135" s="1" t="s">
        <v>1597</v>
      </c>
      <c r="B135" s="1" t="s">
        <v>1360</v>
      </c>
      <c r="C135" s="1" t="s">
        <v>21</v>
      </c>
      <c r="D135" s="1" t="s">
        <v>46</v>
      </c>
      <c r="E135" s="1" t="s">
        <v>1634</v>
      </c>
      <c r="F135" s="1" t="s">
        <v>1635</v>
      </c>
      <c r="G135" s="1" t="s">
        <v>24</v>
      </c>
      <c r="H135" s="1" t="n">
        <v>1.26</v>
      </c>
      <c r="I135" s="2" t="n">
        <v>536.06</v>
      </c>
      <c r="J135" s="15" t="n">
        <f aca="false">I135/H135</f>
        <v>425.444444444444</v>
      </c>
      <c r="K135" s="3" t="n">
        <f aca="false">(L135/J135-1)*-1</f>
        <v>0.391224862888483</v>
      </c>
      <c r="L135" s="15" t="n">
        <v>259</v>
      </c>
    </row>
    <row r="136" customFormat="false" ht="14" hidden="false" customHeight="false" outlineLevel="0" collapsed="false">
      <c r="A136" s="1" t="s">
        <v>1597</v>
      </c>
      <c r="B136" s="1" t="s">
        <v>1360</v>
      </c>
      <c r="C136" s="1" t="s">
        <v>21</v>
      </c>
      <c r="D136" s="1" t="s">
        <v>46</v>
      </c>
      <c r="E136" s="1" t="s">
        <v>1636</v>
      </c>
      <c r="F136" s="1" t="s">
        <v>1637</v>
      </c>
      <c r="G136" s="1" t="s">
        <v>24</v>
      </c>
      <c r="H136" s="1" t="n">
        <v>1.45</v>
      </c>
      <c r="I136" s="2" t="n">
        <v>499</v>
      </c>
      <c r="J136" s="15" t="n">
        <f aca="false">I136/H136</f>
        <v>344.137931034483</v>
      </c>
      <c r="K136" s="3" t="n">
        <f aca="false">(L136/J136-1)*-1</f>
        <v>0.363627254509018</v>
      </c>
      <c r="L136" s="15" t="n">
        <v>219</v>
      </c>
    </row>
    <row r="137" customFormat="false" ht="14" hidden="false" customHeight="false" outlineLevel="0" collapsed="false">
      <c r="A137" s="1" t="s">
        <v>1597</v>
      </c>
      <c r="B137" s="1" t="s">
        <v>1360</v>
      </c>
      <c r="C137" s="1" t="s">
        <v>21</v>
      </c>
      <c r="D137" s="1" t="s">
        <v>46</v>
      </c>
      <c r="E137" s="1" t="s">
        <v>1638</v>
      </c>
      <c r="F137" s="1" t="s">
        <v>1639</v>
      </c>
      <c r="G137" s="1" t="s">
        <v>24</v>
      </c>
      <c r="H137" s="1" t="n">
        <v>1.6</v>
      </c>
      <c r="I137" s="2" t="n">
        <v>559</v>
      </c>
      <c r="J137" s="15" t="n">
        <f aca="false">I137/H137</f>
        <v>349.375</v>
      </c>
      <c r="K137" s="3" t="n">
        <f aca="false">(L137/J137-1)*-1</f>
        <v>0.23005366726297</v>
      </c>
      <c r="L137" s="15" t="n">
        <v>269</v>
      </c>
    </row>
    <row r="138" customFormat="false" ht="14" hidden="false" customHeight="false" outlineLevel="0" collapsed="false">
      <c r="A138" s="1" t="s">
        <v>1597</v>
      </c>
      <c r="B138" s="1" t="s">
        <v>1360</v>
      </c>
      <c r="C138" s="1" t="s">
        <v>21</v>
      </c>
      <c r="D138" s="1" t="s">
        <v>46</v>
      </c>
      <c r="E138" s="1" t="s">
        <v>1640</v>
      </c>
      <c r="F138" s="1" t="s">
        <v>1641</v>
      </c>
      <c r="G138" s="1" t="s">
        <v>24</v>
      </c>
      <c r="H138" s="1" t="n">
        <v>1.28</v>
      </c>
      <c r="I138" s="2" t="n">
        <v>1099</v>
      </c>
      <c r="J138" s="15" t="n">
        <f aca="false">I138/H138</f>
        <v>858.59375</v>
      </c>
      <c r="K138" s="3" t="n">
        <f aca="false">(L138/J138-1)*-1</f>
        <v>0.302347588717016</v>
      </c>
      <c r="L138" s="15" t="n">
        <v>599</v>
      </c>
    </row>
    <row r="139" customFormat="false" ht="14" hidden="false" customHeight="false" outlineLevel="0" collapsed="false">
      <c r="A139" s="1" t="s">
        <v>1597</v>
      </c>
      <c r="B139" s="1" t="s">
        <v>1360</v>
      </c>
      <c r="C139" s="1" t="s">
        <v>21</v>
      </c>
      <c r="D139" s="1" t="s">
        <v>46</v>
      </c>
      <c r="E139" s="1" t="s">
        <v>1642</v>
      </c>
      <c r="F139" s="1" t="s">
        <v>1643</v>
      </c>
      <c r="G139" s="1" t="s">
        <v>24</v>
      </c>
      <c r="H139" s="1" t="n">
        <v>1.16</v>
      </c>
      <c r="I139" s="2" t="n">
        <v>809</v>
      </c>
      <c r="J139" s="15" t="n">
        <f aca="false">I139/H139</f>
        <v>697.413793103448</v>
      </c>
      <c r="K139" s="3" t="n">
        <f aca="false">(L139/J139-1)*-1</f>
        <v>0.35619283065513</v>
      </c>
      <c r="L139" s="15" t="n">
        <v>449</v>
      </c>
    </row>
    <row r="140" customFormat="false" ht="14" hidden="false" customHeight="false" outlineLevel="0" collapsed="false">
      <c r="A140" s="1" t="s">
        <v>1597</v>
      </c>
      <c r="B140" s="1" t="s">
        <v>1360</v>
      </c>
      <c r="C140" s="1" t="s">
        <v>21</v>
      </c>
      <c r="D140" s="1" t="s">
        <v>46</v>
      </c>
      <c r="E140" s="1" t="s">
        <v>1644</v>
      </c>
      <c r="F140" s="1" t="s">
        <v>1645</v>
      </c>
      <c r="G140" s="1" t="s">
        <v>24</v>
      </c>
      <c r="H140" s="1" t="n">
        <v>1.63</v>
      </c>
      <c r="I140" s="2" t="n">
        <v>469</v>
      </c>
      <c r="J140" s="15" t="n">
        <f aca="false">I140/H140</f>
        <v>287.730061349693</v>
      </c>
      <c r="K140" s="3" t="n">
        <f aca="false">(L140/J140-1)*-1</f>
        <v>0.27362473347548</v>
      </c>
      <c r="L140" s="15" t="n">
        <v>209</v>
      </c>
    </row>
    <row r="141" customFormat="false" ht="14" hidden="false" customHeight="false" outlineLevel="0" collapsed="false">
      <c r="A141" s="1" t="s">
        <v>1597</v>
      </c>
      <c r="B141" s="1" t="s">
        <v>1360</v>
      </c>
      <c r="C141" s="1" t="s">
        <v>21</v>
      </c>
      <c r="D141" s="1" t="s">
        <v>46</v>
      </c>
      <c r="E141" s="1" t="s">
        <v>1644</v>
      </c>
      <c r="F141" s="1" t="s">
        <v>1645</v>
      </c>
      <c r="G141" s="1" t="s">
        <v>24</v>
      </c>
      <c r="H141" s="1" t="n">
        <v>1.63</v>
      </c>
      <c r="I141" s="2" t="n">
        <v>469</v>
      </c>
      <c r="J141" s="15" t="n">
        <f aca="false">I141/H141</f>
        <v>287.730061349693</v>
      </c>
      <c r="K141" s="3" t="n">
        <f aca="false">(L141/J141-1)*-1</f>
        <v>0.27362473347548</v>
      </c>
      <c r="L141" s="15" t="n">
        <v>209</v>
      </c>
    </row>
    <row r="142" customFormat="false" ht="14" hidden="false" customHeight="false" outlineLevel="0" collapsed="false">
      <c r="A142" s="1" t="s">
        <v>1597</v>
      </c>
      <c r="B142" s="1" t="s">
        <v>1360</v>
      </c>
      <c r="C142" s="1" t="s">
        <v>21</v>
      </c>
      <c r="D142" s="1" t="s">
        <v>46</v>
      </c>
      <c r="E142" s="1" t="s">
        <v>1646</v>
      </c>
      <c r="F142" s="1" t="s">
        <v>1647</v>
      </c>
      <c r="G142" s="1" t="s">
        <v>24</v>
      </c>
      <c r="H142" s="1" t="n">
        <v>1.6</v>
      </c>
      <c r="I142" s="2" t="n">
        <v>569</v>
      </c>
      <c r="J142" s="15" t="n">
        <f aca="false">I142/H142</f>
        <v>355.625</v>
      </c>
      <c r="K142" s="3" t="n">
        <f aca="false">(L142/J142-1)*-1</f>
        <v>0.243585237258348</v>
      </c>
      <c r="L142" s="15" t="n">
        <v>269</v>
      </c>
    </row>
    <row r="143" customFormat="false" ht="14" hidden="false" customHeight="false" outlineLevel="0" collapsed="false">
      <c r="A143" s="1" t="s">
        <v>1597</v>
      </c>
      <c r="B143" s="1" t="s">
        <v>1360</v>
      </c>
      <c r="C143" s="1" t="s">
        <v>21</v>
      </c>
      <c r="D143" s="1" t="s">
        <v>46</v>
      </c>
      <c r="E143" s="1" t="s">
        <v>1648</v>
      </c>
      <c r="F143" s="1" t="s">
        <v>1649</v>
      </c>
      <c r="G143" s="1" t="s">
        <v>24</v>
      </c>
      <c r="H143" s="1" t="n">
        <v>2.11</v>
      </c>
      <c r="I143" s="2" t="n">
        <v>479</v>
      </c>
      <c r="J143" s="15" t="n">
        <f aca="false">I143/H143</f>
        <v>227.014218009479</v>
      </c>
      <c r="K143" s="3" t="n">
        <f aca="false">(L143/J143-1)*-1</f>
        <v>0.211503131524008</v>
      </c>
      <c r="L143" s="15" t="n">
        <v>179</v>
      </c>
    </row>
    <row r="144" customFormat="false" ht="14" hidden="false" customHeight="false" outlineLevel="0" collapsed="false">
      <c r="A144" s="1" t="s">
        <v>1597</v>
      </c>
      <c r="B144" s="1" t="s">
        <v>1360</v>
      </c>
      <c r="C144" s="1" t="s">
        <v>21</v>
      </c>
      <c r="D144" s="1" t="s">
        <v>46</v>
      </c>
      <c r="E144" s="1" t="s">
        <v>1650</v>
      </c>
      <c r="F144" s="1" t="s">
        <v>1651</v>
      </c>
      <c r="G144" s="1" t="s">
        <v>24</v>
      </c>
      <c r="H144" s="1" t="n">
        <v>1.83</v>
      </c>
      <c r="I144" s="2" t="n">
        <v>609</v>
      </c>
      <c r="J144" s="15" t="n">
        <f aca="false">I144/H144</f>
        <v>332.786885245902</v>
      </c>
      <c r="K144" s="3" t="n">
        <f aca="false">(L144/J144-1)*-1</f>
        <v>0.552266009852217</v>
      </c>
      <c r="L144" s="15" t="n">
        <v>149</v>
      </c>
    </row>
    <row r="145" customFormat="false" ht="14" hidden="false" customHeight="false" outlineLevel="0" collapsed="false">
      <c r="A145" s="1" t="s">
        <v>1597</v>
      </c>
      <c r="B145" s="1" t="s">
        <v>1360</v>
      </c>
      <c r="C145" s="1" t="s">
        <v>21</v>
      </c>
      <c r="D145" s="1" t="s">
        <v>46</v>
      </c>
      <c r="E145" s="1" t="s">
        <v>1652</v>
      </c>
      <c r="F145" s="1" t="s">
        <v>1653</v>
      </c>
      <c r="G145" s="1" t="s">
        <v>24</v>
      </c>
      <c r="H145" s="1" t="n">
        <v>1.44</v>
      </c>
      <c r="I145" s="2" t="n">
        <v>669</v>
      </c>
      <c r="J145" s="15" t="n">
        <f aca="false">I145/H145</f>
        <v>464.583333333333</v>
      </c>
      <c r="K145" s="3" t="n">
        <f aca="false">(L145/J145-1)*-1</f>
        <v>0.334887892376682</v>
      </c>
      <c r="L145" s="15" t="n">
        <v>309</v>
      </c>
    </row>
    <row r="146" customFormat="false" ht="14" hidden="false" customHeight="false" outlineLevel="0" collapsed="false">
      <c r="A146" s="1" t="s">
        <v>1597</v>
      </c>
      <c r="B146" s="1" t="s">
        <v>1360</v>
      </c>
      <c r="C146" s="1" t="s">
        <v>21</v>
      </c>
      <c r="D146" s="1" t="s">
        <v>46</v>
      </c>
      <c r="E146" s="1" t="s">
        <v>1654</v>
      </c>
      <c r="F146" s="1" t="s">
        <v>1655</v>
      </c>
      <c r="G146" s="1" t="s">
        <v>24</v>
      </c>
      <c r="H146" s="1" t="n">
        <v>1.08</v>
      </c>
      <c r="I146" s="2" t="n">
        <v>239</v>
      </c>
      <c r="J146" s="15" t="n">
        <f aca="false">I146/H146</f>
        <v>221.296296296296</v>
      </c>
      <c r="K146" s="3" t="n">
        <f aca="false">(L146/J146-1)*-1</f>
        <v>0.236317991631799</v>
      </c>
      <c r="L146" s="15" t="n">
        <v>169</v>
      </c>
    </row>
    <row r="147" customFormat="false" ht="14" hidden="false" customHeight="false" outlineLevel="0" collapsed="false">
      <c r="A147" s="1" t="s">
        <v>1597</v>
      </c>
      <c r="B147" s="1" t="s">
        <v>1360</v>
      </c>
      <c r="C147" s="1" t="s">
        <v>21</v>
      </c>
      <c r="D147" s="1" t="s">
        <v>46</v>
      </c>
      <c r="E147" s="1" t="s">
        <v>1656</v>
      </c>
      <c r="F147" s="1" t="s">
        <v>1657</v>
      </c>
      <c r="G147" s="1" t="s">
        <v>24</v>
      </c>
      <c r="H147" s="1" t="n">
        <v>1.8</v>
      </c>
      <c r="I147" s="2" t="n">
        <v>743</v>
      </c>
      <c r="J147" s="15" t="n">
        <f aca="false">I147/H147</f>
        <v>412.777777777778</v>
      </c>
      <c r="K147" s="3" t="n">
        <f aca="false">(L147/J147-1)*-1</f>
        <v>0.420995962314939</v>
      </c>
      <c r="L147" s="15" t="n">
        <v>239</v>
      </c>
    </row>
    <row r="148" customFormat="false" ht="14" hidden="false" customHeight="false" outlineLevel="0" collapsed="false">
      <c r="A148" s="1" t="s">
        <v>1597</v>
      </c>
      <c r="B148" s="1" t="s">
        <v>1360</v>
      </c>
      <c r="C148" s="1" t="s">
        <v>21</v>
      </c>
      <c r="D148" s="1" t="s">
        <v>46</v>
      </c>
      <c r="E148" s="1" t="s">
        <v>1658</v>
      </c>
      <c r="F148" s="1" t="s">
        <v>1659</v>
      </c>
      <c r="G148" s="1" t="s">
        <v>24</v>
      </c>
      <c r="H148" s="1" t="n">
        <v>1.6</v>
      </c>
      <c r="I148" s="2" t="n">
        <v>559</v>
      </c>
      <c r="J148" s="15" t="n">
        <f aca="false">I148/H148</f>
        <v>349.375</v>
      </c>
      <c r="K148" s="3" t="n">
        <f aca="false">(L148/J148-1)*-1</f>
        <v>0.201431127012522</v>
      </c>
      <c r="L148" s="15" t="n">
        <v>279</v>
      </c>
    </row>
    <row r="149" customFormat="false" ht="14" hidden="false" customHeight="false" outlineLevel="0" collapsed="false">
      <c r="A149" s="1" t="s">
        <v>1597</v>
      </c>
      <c r="B149" s="1" t="s">
        <v>1360</v>
      </c>
      <c r="C149" s="1" t="s">
        <v>21</v>
      </c>
      <c r="D149" s="1" t="s">
        <v>46</v>
      </c>
      <c r="E149" s="1" t="s">
        <v>1660</v>
      </c>
      <c r="F149" s="1" t="s">
        <v>1661</v>
      </c>
      <c r="G149" s="1" t="s">
        <v>24</v>
      </c>
      <c r="H149" s="1" t="n">
        <v>2.56</v>
      </c>
      <c r="I149" s="2" t="n">
        <v>2189</v>
      </c>
      <c r="J149" s="15" t="n">
        <f aca="false">I149/H149</f>
        <v>855.078125</v>
      </c>
      <c r="K149" s="3" t="n">
        <f aca="false">(L149/J149-1)*-1</f>
        <v>0.299479214253084</v>
      </c>
      <c r="L149" s="15" t="n">
        <v>599</v>
      </c>
    </row>
    <row r="150" customFormat="false" ht="14" hidden="false" customHeight="false" outlineLevel="0" collapsed="false">
      <c r="A150" s="1" t="s">
        <v>1597</v>
      </c>
      <c r="B150" s="1" t="s">
        <v>1360</v>
      </c>
      <c r="C150" s="1" t="s">
        <v>21</v>
      </c>
      <c r="D150" s="1" t="s">
        <v>46</v>
      </c>
      <c r="E150" s="1" t="s">
        <v>1662</v>
      </c>
      <c r="F150" s="1" t="s">
        <v>1663</v>
      </c>
      <c r="G150" s="1" t="s">
        <v>24</v>
      </c>
      <c r="H150" s="1" t="n">
        <v>1.2</v>
      </c>
      <c r="I150" s="2" t="n">
        <v>399</v>
      </c>
      <c r="J150" s="15" t="n">
        <f aca="false">I150/H150</f>
        <v>332.5</v>
      </c>
      <c r="K150" s="3" t="n">
        <f aca="false">(L150/J150-1)*-1</f>
        <v>0.311278195488722</v>
      </c>
      <c r="L150" s="15" t="n">
        <v>229</v>
      </c>
    </row>
    <row r="151" customFormat="false" ht="14" hidden="false" customHeight="false" outlineLevel="0" collapsed="false">
      <c r="A151" s="1" t="s">
        <v>1597</v>
      </c>
      <c r="B151" s="1" t="s">
        <v>1360</v>
      </c>
      <c r="C151" s="1" t="s">
        <v>21</v>
      </c>
      <c r="D151" s="1" t="s">
        <v>46</v>
      </c>
      <c r="E151" s="1" t="s">
        <v>1664</v>
      </c>
      <c r="F151" s="1" t="s">
        <v>1665</v>
      </c>
      <c r="G151" s="1" t="s">
        <v>24</v>
      </c>
      <c r="H151" s="1" t="n">
        <v>1.44</v>
      </c>
      <c r="I151" s="2" t="n">
        <v>869</v>
      </c>
      <c r="J151" s="15" t="n">
        <f aca="false">I151/H151</f>
        <v>603.472222222222</v>
      </c>
      <c r="K151" s="3" t="n">
        <f aca="false">(L151/J151-1)*-1</f>
        <v>0.173118527042578</v>
      </c>
      <c r="L151" s="15" t="n">
        <v>499</v>
      </c>
    </row>
    <row r="152" customFormat="false" ht="14" hidden="false" customHeight="false" outlineLevel="0" collapsed="false">
      <c r="A152" s="1" t="s">
        <v>1597</v>
      </c>
      <c r="B152" s="1" t="s">
        <v>1360</v>
      </c>
      <c r="C152" s="1" t="s">
        <v>21</v>
      </c>
      <c r="D152" s="1" t="s">
        <v>46</v>
      </c>
      <c r="E152" s="1" t="s">
        <v>1666</v>
      </c>
      <c r="F152" s="1" t="s">
        <v>1667</v>
      </c>
      <c r="G152" s="1" t="s">
        <v>24</v>
      </c>
      <c r="H152" s="1" t="n">
        <v>2.11</v>
      </c>
      <c r="I152" s="2" t="n">
        <v>386</v>
      </c>
      <c r="J152" s="15" t="n">
        <f aca="false">I152/H152</f>
        <v>182.938388625592</v>
      </c>
      <c r="K152" s="3" t="n">
        <f aca="false">(L152/J152-1)*-1</f>
        <v>0.349507772020725</v>
      </c>
      <c r="L152" s="15" t="n">
        <v>119</v>
      </c>
    </row>
    <row r="153" customFormat="false" ht="14" hidden="false" customHeight="false" outlineLevel="0" collapsed="false">
      <c r="A153" s="1" t="s">
        <v>1597</v>
      </c>
      <c r="B153" s="1" t="s">
        <v>1360</v>
      </c>
      <c r="C153" s="1" t="s">
        <v>21</v>
      </c>
      <c r="D153" s="1" t="s">
        <v>46</v>
      </c>
      <c r="E153" s="1" t="s">
        <v>1668</v>
      </c>
      <c r="F153" s="1" t="s">
        <v>1669</v>
      </c>
      <c r="G153" s="1" t="s">
        <v>24</v>
      </c>
      <c r="H153" s="1" t="n">
        <v>1.63</v>
      </c>
      <c r="I153" s="2" t="n">
        <v>485</v>
      </c>
      <c r="J153" s="15" t="n">
        <f aca="false">I153/H153</f>
        <v>297.546012269939</v>
      </c>
      <c r="K153" s="3" t="n">
        <f aca="false">(L153/J153-1)*-1</f>
        <v>0.432020618556701</v>
      </c>
      <c r="L153" s="15" t="n">
        <v>169</v>
      </c>
    </row>
    <row r="154" customFormat="false" ht="14" hidden="false" customHeight="false" outlineLevel="0" collapsed="false">
      <c r="A154" s="1" t="s">
        <v>1597</v>
      </c>
      <c r="B154" s="1" t="s">
        <v>1360</v>
      </c>
      <c r="C154" s="1" t="s">
        <v>21</v>
      </c>
      <c r="D154" s="1" t="s">
        <v>46</v>
      </c>
      <c r="E154" s="1" t="s">
        <v>1670</v>
      </c>
      <c r="F154" s="1" t="s">
        <v>1671</v>
      </c>
      <c r="G154" s="1" t="s">
        <v>24</v>
      </c>
      <c r="H154" s="1" t="n">
        <v>1.45</v>
      </c>
      <c r="I154" s="2" t="n">
        <v>499</v>
      </c>
      <c r="J154" s="15" t="n">
        <f aca="false">I154/H154</f>
        <v>344.137931034483</v>
      </c>
      <c r="K154" s="3" t="n">
        <f aca="false">(L154/J154-1)*-1</f>
        <v>0.363627254509018</v>
      </c>
      <c r="L154" s="15" t="n">
        <v>219</v>
      </c>
    </row>
    <row r="155" customFormat="false" ht="14" hidden="false" customHeight="false" outlineLevel="0" collapsed="false">
      <c r="A155" s="1" t="s">
        <v>1597</v>
      </c>
      <c r="B155" s="1" t="s">
        <v>1360</v>
      </c>
      <c r="C155" s="1" t="s">
        <v>21</v>
      </c>
      <c r="D155" s="1" t="s">
        <v>46</v>
      </c>
      <c r="E155" s="1" t="s">
        <v>1672</v>
      </c>
      <c r="F155" s="1" t="s">
        <v>1673</v>
      </c>
      <c r="G155" s="1" t="s">
        <v>24</v>
      </c>
      <c r="H155" s="1" t="n">
        <v>1.2</v>
      </c>
      <c r="I155" s="2" t="n">
        <v>490</v>
      </c>
      <c r="J155" s="15" t="n">
        <f aca="false">I155/H155</f>
        <v>408.333333333333</v>
      </c>
      <c r="K155" s="3" t="n">
        <f aca="false">(L155/J155-1)*-1</f>
        <v>0.365714285714286</v>
      </c>
      <c r="L155" s="15" t="n">
        <v>259</v>
      </c>
    </row>
    <row r="156" customFormat="false" ht="14" hidden="false" customHeight="false" outlineLevel="0" collapsed="false">
      <c r="A156" s="1" t="s">
        <v>1597</v>
      </c>
      <c r="B156" s="1" t="s">
        <v>1360</v>
      </c>
      <c r="C156" s="1" t="s">
        <v>21</v>
      </c>
      <c r="D156" s="1" t="s">
        <v>46</v>
      </c>
      <c r="E156" s="1" t="s">
        <v>1674</v>
      </c>
      <c r="F156" s="1" t="s">
        <v>1675</v>
      </c>
      <c r="G156" s="1" t="s">
        <v>24</v>
      </c>
      <c r="H156" s="1" t="n">
        <v>1.37</v>
      </c>
      <c r="I156" s="2" t="n">
        <v>1180</v>
      </c>
      <c r="J156" s="15" t="n">
        <f aca="false">I156/H156</f>
        <v>861.313868613139</v>
      </c>
      <c r="K156" s="3" t="n">
        <f aca="false">(L156/J156-1)*-1</f>
        <v>0.513533898305085</v>
      </c>
      <c r="L156" s="15" t="n">
        <v>419</v>
      </c>
    </row>
    <row r="157" customFormat="false" ht="14" hidden="false" customHeight="false" outlineLevel="0" collapsed="false">
      <c r="A157" s="1" t="s">
        <v>1597</v>
      </c>
      <c r="B157" s="1" t="s">
        <v>1360</v>
      </c>
      <c r="C157" s="1" t="s">
        <v>21</v>
      </c>
      <c r="D157" s="1" t="s">
        <v>46</v>
      </c>
      <c r="E157" s="1" t="s">
        <v>1676</v>
      </c>
      <c r="F157" s="1" t="s">
        <v>1677</v>
      </c>
      <c r="G157" s="1" t="s">
        <v>24</v>
      </c>
      <c r="H157" s="1" t="n">
        <v>1.28</v>
      </c>
      <c r="I157" s="2" t="n">
        <v>1099</v>
      </c>
      <c r="J157" s="15" t="n">
        <f aca="false">I157/H157</f>
        <v>858.59375</v>
      </c>
      <c r="K157" s="3" t="n">
        <f aca="false">(L157/J157-1)*-1</f>
        <v>0.302347588717016</v>
      </c>
      <c r="L157" s="15" t="n">
        <v>599</v>
      </c>
    </row>
    <row r="158" customFormat="false" ht="14" hidden="false" customHeight="false" outlineLevel="0" collapsed="false">
      <c r="A158" s="1" t="s">
        <v>1597</v>
      </c>
      <c r="B158" s="1" t="s">
        <v>1360</v>
      </c>
      <c r="C158" s="1" t="s">
        <v>21</v>
      </c>
      <c r="D158" s="1" t="s">
        <v>46</v>
      </c>
      <c r="E158" s="1" t="s">
        <v>1678</v>
      </c>
      <c r="F158" s="1" t="s">
        <v>1679</v>
      </c>
      <c r="G158" s="1" t="s">
        <v>24</v>
      </c>
      <c r="H158" s="1" t="n">
        <v>1.08</v>
      </c>
      <c r="I158" s="2" t="n">
        <v>249</v>
      </c>
      <c r="J158" s="15" t="n">
        <f aca="false">I158/H158</f>
        <v>230.555555555556</v>
      </c>
      <c r="K158" s="3" t="n">
        <f aca="false">(L158/J158-1)*-1</f>
        <v>0.266987951807229</v>
      </c>
      <c r="L158" s="15" t="n">
        <v>169</v>
      </c>
    </row>
    <row r="159" customFormat="false" ht="14" hidden="false" customHeight="false" outlineLevel="0" collapsed="false">
      <c r="A159" s="1" t="s">
        <v>1597</v>
      </c>
      <c r="B159" s="1" t="s">
        <v>1360</v>
      </c>
      <c r="C159" s="1" t="s">
        <v>21</v>
      </c>
      <c r="D159" s="1" t="s">
        <v>46</v>
      </c>
      <c r="E159" s="1" t="s">
        <v>1680</v>
      </c>
      <c r="F159" s="1" t="s">
        <v>1681</v>
      </c>
      <c r="G159" s="1" t="s">
        <v>24</v>
      </c>
      <c r="H159" s="1" t="n">
        <v>2.11</v>
      </c>
      <c r="I159" s="2" t="n">
        <v>362</v>
      </c>
      <c r="J159" s="15" t="n">
        <f aca="false">I159/H159</f>
        <v>171.563981042654</v>
      </c>
      <c r="K159" s="3" t="n">
        <f aca="false">(L159/J159-1)*-1</f>
        <v>0.422955801104972</v>
      </c>
      <c r="L159" s="15" t="n">
        <v>99</v>
      </c>
    </row>
    <row r="160" customFormat="false" ht="14" hidden="false" customHeight="false" outlineLevel="0" collapsed="false">
      <c r="A160" s="1" t="s">
        <v>1597</v>
      </c>
      <c r="B160" s="1" t="s">
        <v>1360</v>
      </c>
      <c r="C160" s="1" t="s">
        <v>21</v>
      </c>
      <c r="D160" s="1" t="s">
        <v>46</v>
      </c>
      <c r="E160" s="1" t="s">
        <v>1682</v>
      </c>
      <c r="F160" s="1" t="s">
        <v>1683</v>
      </c>
      <c r="G160" s="1" t="s">
        <v>24</v>
      </c>
      <c r="H160" s="1" t="n">
        <v>1.08</v>
      </c>
      <c r="I160" s="2" t="n">
        <v>272</v>
      </c>
      <c r="J160" s="15" t="n">
        <f aca="false">I160/H160</f>
        <v>251.851851851852</v>
      </c>
      <c r="K160" s="3" t="n">
        <f aca="false">(L160/J160-1)*-1</f>
        <v>0.368676470588235</v>
      </c>
      <c r="L160" s="15" t="n">
        <v>159</v>
      </c>
    </row>
    <row r="161" customFormat="false" ht="14" hidden="false" customHeight="false" outlineLevel="0" collapsed="false">
      <c r="A161" s="1" t="s">
        <v>1597</v>
      </c>
      <c r="B161" s="1" t="s">
        <v>1360</v>
      </c>
      <c r="C161" s="1" t="s">
        <v>21</v>
      </c>
      <c r="D161" s="1" t="s">
        <v>46</v>
      </c>
      <c r="E161" s="1" t="s">
        <v>1684</v>
      </c>
      <c r="F161" s="1" t="s">
        <v>1685</v>
      </c>
      <c r="G161" s="1" t="s">
        <v>24</v>
      </c>
      <c r="H161" s="1" t="n">
        <v>1.16</v>
      </c>
      <c r="I161" s="2" t="n">
        <v>809</v>
      </c>
      <c r="J161" s="15" t="n">
        <f aca="false">I161/H161</f>
        <v>697.413793103448</v>
      </c>
      <c r="K161" s="3" t="n">
        <f aca="false">(L161/J161-1)*-1</f>
        <v>0.35619283065513</v>
      </c>
      <c r="L161" s="15" t="n">
        <v>449</v>
      </c>
    </row>
    <row r="162" customFormat="false" ht="14" hidden="false" customHeight="false" outlineLevel="0" collapsed="false">
      <c r="A162" s="1" t="s">
        <v>1597</v>
      </c>
      <c r="B162" s="1" t="s">
        <v>1360</v>
      </c>
      <c r="C162" s="1" t="s">
        <v>21</v>
      </c>
      <c r="D162" s="1" t="s">
        <v>46</v>
      </c>
      <c r="E162" s="1" t="s">
        <v>1686</v>
      </c>
      <c r="F162" s="1" t="s">
        <v>1687</v>
      </c>
      <c r="G162" s="1" t="s">
        <v>24</v>
      </c>
      <c r="H162" s="1" t="n">
        <v>1.63</v>
      </c>
      <c r="I162" s="2" t="n">
        <v>354</v>
      </c>
      <c r="J162" s="15" t="n">
        <f aca="false">I162/H162</f>
        <v>217.177914110429</v>
      </c>
      <c r="K162" s="3" t="n">
        <f aca="false">(L162/J162-1)*-1</f>
        <v>0.406016949152542</v>
      </c>
      <c r="L162" s="15" t="n">
        <v>129</v>
      </c>
    </row>
    <row r="163" customFormat="false" ht="14" hidden="false" customHeight="false" outlineLevel="0" collapsed="false">
      <c r="A163" s="1" t="s">
        <v>1597</v>
      </c>
      <c r="B163" s="1" t="s">
        <v>1360</v>
      </c>
      <c r="C163" s="1" t="s">
        <v>21</v>
      </c>
      <c r="D163" s="1" t="s">
        <v>46</v>
      </c>
      <c r="E163" s="1" t="s">
        <v>1688</v>
      </c>
      <c r="F163" s="1" t="s">
        <v>1689</v>
      </c>
      <c r="G163" s="1" t="s">
        <v>24</v>
      </c>
      <c r="H163" s="1" t="n">
        <v>1.8</v>
      </c>
      <c r="I163" s="2" t="n">
        <v>743</v>
      </c>
      <c r="J163" s="15" t="n">
        <f aca="false">I163/H163</f>
        <v>412.777777777778</v>
      </c>
      <c r="K163" s="3" t="n">
        <f aca="false">(L163/J163-1)*-1</f>
        <v>0.420995962314939</v>
      </c>
      <c r="L163" s="15" t="n">
        <v>239</v>
      </c>
    </row>
    <row r="164" customFormat="false" ht="14" hidden="false" customHeight="false" outlineLevel="0" collapsed="false">
      <c r="A164" s="1" t="s">
        <v>1597</v>
      </c>
      <c r="B164" s="1" t="s">
        <v>1360</v>
      </c>
      <c r="C164" s="1" t="s">
        <v>21</v>
      </c>
      <c r="D164" s="1" t="s">
        <v>46</v>
      </c>
      <c r="E164" s="1" t="s">
        <v>1690</v>
      </c>
      <c r="F164" s="1" t="s">
        <v>1691</v>
      </c>
      <c r="G164" s="1" t="s">
        <v>24</v>
      </c>
      <c r="H164" s="1" t="n">
        <v>1.08</v>
      </c>
      <c r="I164" s="2" t="n">
        <v>272</v>
      </c>
      <c r="J164" s="15" t="n">
        <f aca="false">I164/H164</f>
        <v>251.851851851852</v>
      </c>
      <c r="K164" s="3" t="n">
        <f aca="false">(L164/J164-1)*-1</f>
        <v>0.408382352941176</v>
      </c>
      <c r="L164" s="15" t="n">
        <v>149</v>
      </c>
    </row>
    <row r="165" customFormat="false" ht="14" hidden="false" customHeight="false" outlineLevel="0" collapsed="false">
      <c r="A165" s="1" t="s">
        <v>1597</v>
      </c>
      <c r="B165" s="1" t="s">
        <v>1360</v>
      </c>
      <c r="C165" s="1" t="s">
        <v>21</v>
      </c>
      <c r="D165" s="1" t="s">
        <v>46</v>
      </c>
      <c r="E165" s="1" t="s">
        <v>1692</v>
      </c>
      <c r="F165" s="1" t="s">
        <v>1693</v>
      </c>
      <c r="G165" s="1" t="s">
        <v>24</v>
      </c>
      <c r="H165" s="1" t="n">
        <v>1.08</v>
      </c>
      <c r="I165" s="2" t="n">
        <v>247</v>
      </c>
      <c r="J165" s="15" t="n">
        <f aca="false">I165/H165</f>
        <v>228.703703703704</v>
      </c>
      <c r="K165" s="3" t="n">
        <f aca="false">(L165/J165-1)*-1</f>
        <v>0.304777327935223</v>
      </c>
      <c r="L165" s="15" t="n">
        <v>159</v>
      </c>
    </row>
    <row r="166" customFormat="false" ht="14" hidden="false" customHeight="false" outlineLevel="0" collapsed="false">
      <c r="A166" s="1" t="s">
        <v>1597</v>
      </c>
      <c r="B166" s="1" t="s">
        <v>1360</v>
      </c>
      <c r="C166" s="1" t="s">
        <v>21</v>
      </c>
      <c r="D166" s="1" t="s">
        <v>46</v>
      </c>
      <c r="E166" s="1" t="s">
        <v>1694</v>
      </c>
      <c r="F166" s="1" t="s">
        <v>1695</v>
      </c>
      <c r="G166" s="1" t="s">
        <v>24</v>
      </c>
      <c r="H166" s="1" t="n">
        <v>1.08</v>
      </c>
      <c r="I166" s="2" t="n">
        <v>260</v>
      </c>
      <c r="J166" s="15" t="n">
        <f aca="false">I166/H166</f>
        <v>240.740740740741</v>
      </c>
      <c r="K166" s="3" t="n">
        <f aca="false">(L166/J166-1)*-1</f>
        <v>0.339538461538462</v>
      </c>
      <c r="L166" s="15" t="n">
        <v>159</v>
      </c>
    </row>
    <row r="167" customFormat="false" ht="14" hidden="false" customHeight="false" outlineLevel="0" collapsed="false">
      <c r="A167" s="1" t="s">
        <v>1597</v>
      </c>
      <c r="B167" s="1" t="s">
        <v>1360</v>
      </c>
      <c r="C167" s="1" t="s">
        <v>21</v>
      </c>
      <c r="D167" s="1" t="s">
        <v>46</v>
      </c>
      <c r="E167" s="1" t="s">
        <v>1696</v>
      </c>
      <c r="F167" s="1" t="s">
        <v>1697</v>
      </c>
      <c r="G167" s="1" t="s">
        <v>24</v>
      </c>
      <c r="H167" s="1" t="n">
        <v>1.37</v>
      </c>
      <c r="I167" s="2" t="n">
        <v>1180</v>
      </c>
      <c r="J167" s="15" t="n">
        <f aca="false">I167/H167</f>
        <v>861.313868613139</v>
      </c>
      <c r="K167" s="3" t="n">
        <f aca="false">(L167/J167-1)*-1</f>
        <v>0.513533898305085</v>
      </c>
      <c r="L167" s="15" t="n">
        <v>419</v>
      </c>
    </row>
    <row r="168" customFormat="false" ht="14" hidden="false" customHeight="false" outlineLevel="0" collapsed="false">
      <c r="A168" s="1" t="s">
        <v>1597</v>
      </c>
      <c r="B168" s="1" t="s">
        <v>1360</v>
      </c>
      <c r="C168" s="1" t="s">
        <v>21</v>
      </c>
      <c r="D168" s="1" t="s">
        <v>46</v>
      </c>
      <c r="E168" s="1" t="s">
        <v>1698</v>
      </c>
      <c r="F168" s="1" t="s">
        <v>1699</v>
      </c>
      <c r="G168" s="1" t="s">
        <v>24</v>
      </c>
      <c r="H168" s="1" t="n">
        <v>2.56</v>
      </c>
      <c r="I168" s="2" t="n">
        <v>2189</v>
      </c>
      <c r="J168" s="15" t="n">
        <f aca="false">I168/H168</f>
        <v>855.078125</v>
      </c>
      <c r="K168" s="3" t="n">
        <f aca="false">(L168/J168-1)*-1</f>
        <v>0.299479214253084</v>
      </c>
      <c r="L168" s="15" t="n">
        <v>599</v>
      </c>
    </row>
    <row r="169" customFormat="false" ht="14" hidden="false" customHeight="false" outlineLevel="0" collapsed="false">
      <c r="A169" s="1" t="s">
        <v>1597</v>
      </c>
      <c r="B169" s="1" t="s">
        <v>1360</v>
      </c>
      <c r="C169" s="1" t="s">
        <v>21</v>
      </c>
      <c r="D169" s="1" t="s">
        <v>46</v>
      </c>
      <c r="E169" s="1" t="s">
        <v>1700</v>
      </c>
      <c r="F169" s="1" t="s">
        <v>1701</v>
      </c>
      <c r="G169" s="1" t="s">
        <v>24</v>
      </c>
      <c r="H169" s="1" t="n">
        <v>1.63</v>
      </c>
      <c r="I169" s="2" t="n">
        <v>354</v>
      </c>
      <c r="J169" s="15" t="n">
        <f aca="false">I169/H169</f>
        <v>217.177914110429</v>
      </c>
      <c r="K169" s="3" t="n">
        <f aca="false">(L169/J169-1)*-1</f>
        <v>0.406016949152542</v>
      </c>
      <c r="L169" s="15" t="n">
        <v>129</v>
      </c>
    </row>
    <row r="170" customFormat="false" ht="14" hidden="false" customHeight="false" outlineLevel="0" collapsed="false">
      <c r="A170" s="1" t="s">
        <v>1597</v>
      </c>
      <c r="B170" s="1" t="s">
        <v>1360</v>
      </c>
      <c r="C170" s="1" t="s">
        <v>21</v>
      </c>
      <c r="D170" s="1" t="s">
        <v>46</v>
      </c>
      <c r="E170" s="1" t="s">
        <v>1702</v>
      </c>
      <c r="F170" s="1" t="s">
        <v>1703</v>
      </c>
      <c r="G170" s="1" t="s">
        <v>24</v>
      </c>
      <c r="H170" s="1" t="n">
        <v>2.11</v>
      </c>
      <c r="I170" s="2" t="n">
        <v>400</v>
      </c>
      <c r="J170" s="15" t="n">
        <f aca="false">I170/H170</f>
        <v>189.57345971564</v>
      </c>
      <c r="K170" s="3" t="n">
        <f aca="false">(L170/J170-1)*-1</f>
        <v>0.266775</v>
      </c>
      <c r="L170" s="15" t="n">
        <v>139</v>
      </c>
    </row>
    <row r="171" customFormat="false" ht="14" hidden="false" customHeight="false" outlineLevel="0" collapsed="false">
      <c r="A171" s="1" t="s">
        <v>1597</v>
      </c>
      <c r="B171" s="1" t="s">
        <v>1360</v>
      </c>
      <c r="C171" s="1" t="s">
        <v>21</v>
      </c>
      <c r="D171" s="1" t="s">
        <v>46</v>
      </c>
      <c r="E171" s="1" t="s">
        <v>1704</v>
      </c>
      <c r="F171" s="1" t="s">
        <v>1705</v>
      </c>
      <c r="G171" s="1" t="s">
        <v>24</v>
      </c>
      <c r="H171" s="1" t="n">
        <v>1.36</v>
      </c>
      <c r="I171" s="2" t="n">
        <v>479</v>
      </c>
      <c r="J171" s="15" t="n">
        <f aca="false">I171/H171</f>
        <v>352.205882352941</v>
      </c>
      <c r="K171" s="3" t="n">
        <f aca="false">(L171/J171-1)*-1</f>
        <v>0.349812108559499</v>
      </c>
      <c r="L171" s="15" t="n">
        <v>229</v>
      </c>
    </row>
    <row r="172" customFormat="false" ht="14" hidden="false" customHeight="false" outlineLevel="0" collapsed="false">
      <c r="A172" s="1" t="s">
        <v>1597</v>
      </c>
      <c r="B172" s="1" t="s">
        <v>1360</v>
      </c>
      <c r="C172" s="1" t="s">
        <v>21</v>
      </c>
      <c r="D172" s="1" t="s">
        <v>46</v>
      </c>
      <c r="E172" s="1" t="s">
        <v>1706</v>
      </c>
      <c r="F172" s="1" t="s">
        <v>1707</v>
      </c>
      <c r="G172" s="1" t="s">
        <v>24</v>
      </c>
      <c r="H172" s="1" t="n">
        <v>1.44</v>
      </c>
      <c r="I172" s="2" t="n">
        <v>639</v>
      </c>
      <c r="J172" s="15" t="n">
        <f aca="false">I172/H172</f>
        <v>443.75</v>
      </c>
      <c r="K172" s="3" t="n">
        <f aca="false">(L172/J172-1)*-1</f>
        <v>0.190985915492958</v>
      </c>
      <c r="L172" s="15" t="n">
        <v>359</v>
      </c>
    </row>
    <row r="173" customFormat="false" ht="14" hidden="false" customHeight="false" outlineLevel="0" collapsed="false">
      <c r="A173" s="1" t="s">
        <v>1597</v>
      </c>
      <c r="B173" s="1" t="s">
        <v>1360</v>
      </c>
      <c r="C173" s="1" t="s">
        <v>21</v>
      </c>
      <c r="D173" s="1" t="s">
        <v>46</v>
      </c>
      <c r="E173" s="1" t="s">
        <v>1708</v>
      </c>
      <c r="F173" s="1" t="s">
        <v>1709</v>
      </c>
      <c r="G173" s="1" t="s">
        <v>24</v>
      </c>
      <c r="H173" s="1" t="n">
        <v>1.5</v>
      </c>
      <c r="I173" s="2" t="n">
        <v>419</v>
      </c>
      <c r="J173" s="15" t="n">
        <f aca="false">I173/H173</f>
        <v>279.333333333333</v>
      </c>
      <c r="K173" s="3" t="n">
        <f aca="false">(L173/J173-1)*-1</f>
        <v>0.180190930787589</v>
      </c>
      <c r="L173" s="15" t="n">
        <v>229</v>
      </c>
    </row>
    <row r="174" customFormat="false" ht="14" hidden="false" customHeight="false" outlineLevel="0" collapsed="false">
      <c r="A174" s="1" t="s">
        <v>1597</v>
      </c>
      <c r="B174" s="1" t="s">
        <v>1360</v>
      </c>
      <c r="C174" s="1" t="s">
        <v>21</v>
      </c>
      <c r="D174" s="1" t="s">
        <v>46</v>
      </c>
      <c r="E174" s="1" t="s">
        <v>1710</v>
      </c>
      <c r="F174" s="1" t="s">
        <v>1711</v>
      </c>
      <c r="G174" s="1" t="s">
        <v>24</v>
      </c>
      <c r="H174" s="1" t="n">
        <v>2.11</v>
      </c>
      <c r="I174" s="2" t="n">
        <v>386</v>
      </c>
      <c r="J174" s="15" t="n">
        <f aca="false">I174/H174</f>
        <v>182.938388625592</v>
      </c>
      <c r="K174" s="3" t="n">
        <f aca="false">(L174/J174-1)*-1</f>
        <v>0.240181347150259</v>
      </c>
      <c r="L174" s="15" t="n">
        <v>139</v>
      </c>
    </row>
    <row r="175" customFormat="false" ht="14" hidden="false" customHeight="false" outlineLevel="0" collapsed="false">
      <c r="A175" s="1" t="s">
        <v>1597</v>
      </c>
      <c r="B175" s="1" t="s">
        <v>1360</v>
      </c>
      <c r="C175" s="1" t="s">
        <v>21</v>
      </c>
      <c r="D175" s="1" t="s">
        <v>46</v>
      </c>
      <c r="E175" s="1" t="s">
        <v>1712</v>
      </c>
      <c r="F175" s="1" t="s">
        <v>1713</v>
      </c>
      <c r="G175" s="1" t="s">
        <v>24</v>
      </c>
      <c r="H175" s="1" t="n">
        <v>1.08</v>
      </c>
      <c r="I175" s="2" t="n">
        <v>247</v>
      </c>
      <c r="J175" s="15" t="n">
        <f aca="false">I175/H175</f>
        <v>228.703703703704</v>
      </c>
      <c r="K175" s="3" t="n">
        <f aca="false">(L175/J175-1)*-1</f>
        <v>0.304777327935223</v>
      </c>
      <c r="L175" s="15" t="n">
        <v>159</v>
      </c>
    </row>
    <row r="176" customFormat="false" ht="14" hidden="false" customHeight="false" outlineLevel="0" collapsed="false">
      <c r="A176" s="1" t="s">
        <v>1597</v>
      </c>
      <c r="B176" s="1" t="s">
        <v>1360</v>
      </c>
      <c r="C176" s="1" t="s">
        <v>21</v>
      </c>
      <c r="D176" s="1" t="s">
        <v>46</v>
      </c>
      <c r="E176" s="1" t="s">
        <v>1714</v>
      </c>
      <c r="F176" s="1" t="s">
        <v>1715</v>
      </c>
      <c r="G176" s="1" t="s">
        <v>24</v>
      </c>
      <c r="H176" s="1" t="n">
        <v>1.8</v>
      </c>
      <c r="I176" s="2" t="n">
        <v>659</v>
      </c>
      <c r="J176" s="15" t="n">
        <f aca="false">I176/H176</f>
        <v>366.111111111111</v>
      </c>
      <c r="K176" s="3" t="n">
        <f aca="false">(L176/J176-1)*-1</f>
        <v>0.374506828528073</v>
      </c>
      <c r="L176" s="15" t="n">
        <v>229</v>
      </c>
    </row>
    <row r="177" customFormat="false" ht="14" hidden="false" customHeight="false" outlineLevel="0" collapsed="false">
      <c r="A177" s="1" t="s">
        <v>1597</v>
      </c>
      <c r="B177" s="1" t="s">
        <v>1360</v>
      </c>
      <c r="C177" s="1" t="s">
        <v>21</v>
      </c>
      <c r="D177" s="1" t="s">
        <v>46</v>
      </c>
      <c r="E177" s="1" t="s">
        <v>1716</v>
      </c>
      <c r="F177" s="1" t="s">
        <v>1717</v>
      </c>
      <c r="G177" s="1" t="s">
        <v>24</v>
      </c>
      <c r="H177" s="1" t="n">
        <v>1.36</v>
      </c>
      <c r="I177" s="2" t="n">
        <v>479</v>
      </c>
      <c r="J177" s="15" t="n">
        <f aca="false">I177/H177</f>
        <v>352.205882352941</v>
      </c>
      <c r="K177" s="3" t="n">
        <f aca="false">(L177/J177-1)*-1</f>
        <v>0.349812108559499</v>
      </c>
      <c r="L177" s="15" t="n">
        <v>229</v>
      </c>
    </row>
    <row r="178" customFormat="false" ht="14" hidden="false" customHeight="false" outlineLevel="0" collapsed="false">
      <c r="A178" s="1" t="s">
        <v>1597</v>
      </c>
      <c r="B178" s="1" t="s">
        <v>1360</v>
      </c>
      <c r="C178" s="1" t="s">
        <v>21</v>
      </c>
      <c r="D178" s="1" t="s">
        <v>46</v>
      </c>
      <c r="E178" s="1" t="s">
        <v>1718</v>
      </c>
      <c r="F178" s="1" t="s">
        <v>1719</v>
      </c>
      <c r="G178" s="1" t="s">
        <v>24</v>
      </c>
      <c r="H178" s="1" t="n">
        <v>1.6</v>
      </c>
      <c r="I178" s="2" t="n">
        <v>589</v>
      </c>
      <c r="J178" s="15" t="n">
        <f aca="false">I178/H178</f>
        <v>368.125</v>
      </c>
      <c r="K178" s="3" t="n">
        <f aca="false">(L178/J178-1)*-1</f>
        <v>0.160611205432937</v>
      </c>
      <c r="L178" s="15" t="n">
        <v>309</v>
      </c>
    </row>
    <row r="179" customFormat="false" ht="14" hidden="false" customHeight="false" outlineLevel="0" collapsed="false">
      <c r="A179" s="1" t="s">
        <v>1597</v>
      </c>
      <c r="B179" s="1" t="s">
        <v>1360</v>
      </c>
      <c r="C179" s="1" t="s">
        <v>21</v>
      </c>
      <c r="D179" s="1" t="s">
        <v>46</v>
      </c>
      <c r="E179" s="1" t="s">
        <v>1720</v>
      </c>
      <c r="F179" s="1" t="s">
        <v>1721</v>
      </c>
      <c r="G179" s="1" t="s">
        <v>24</v>
      </c>
      <c r="H179" s="1" t="n">
        <v>1.63</v>
      </c>
      <c r="I179" s="2" t="n">
        <v>485</v>
      </c>
      <c r="J179" s="15" t="n">
        <f aca="false">I179/H179</f>
        <v>297.546012269939</v>
      </c>
      <c r="K179" s="3" t="n">
        <f aca="false">(L179/J179-1)*-1</f>
        <v>0.432020618556701</v>
      </c>
      <c r="L179" s="15" t="n">
        <v>169</v>
      </c>
    </row>
    <row r="180" customFormat="false" ht="14" hidden="false" customHeight="false" outlineLevel="0" collapsed="false">
      <c r="A180" s="1" t="s">
        <v>1597</v>
      </c>
      <c r="B180" s="1" t="s">
        <v>1360</v>
      </c>
      <c r="C180" s="1" t="s">
        <v>21</v>
      </c>
      <c r="D180" s="1" t="s">
        <v>46</v>
      </c>
      <c r="E180" s="1" t="s">
        <v>1722</v>
      </c>
      <c r="F180" s="1" t="s">
        <v>1723</v>
      </c>
      <c r="G180" s="1" t="s">
        <v>24</v>
      </c>
      <c r="H180" s="1" t="n">
        <v>1.44</v>
      </c>
      <c r="I180" s="2" t="n">
        <v>669</v>
      </c>
      <c r="J180" s="15" t="n">
        <f aca="false">I180/H180</f>
        <v>464.583333333333</v>
      </c>
      <c r="K180" s="3" t="n">
        <f aca="false">(L180/J180-1)*-1</f>
        <v>0.399461883408072</v>
      </c>
      <c r="L180" s="15" t="n">
        <v>279</v>
      </c>
    </row>
    <row r="181" customFormat="false" ht="14" hidden="false" customHeight="false" outlineLevel="0" collapsed="false">
      <c r="A181" s="1" t="s">
        <v>1597</v>
      </c>
      <c r="B181" s="1" t="s">
        <v>1360</v>
      </c>
      <c r="C181" s="1" t="s">
        <v>21</v>
      </c>
      <c r="D181" s="1" t="s">
        <v>46</v>
      </c>
      <c r="E181" s="1" t="s">
        <v>1724</v>
      </c>
      <c r="F181" s="1" t="s">
        <v>1725</v>
      </c>
      <c r="G181" s="1" t="s">
        <v>24</v>
      </c>
      <c r="H181" s="1" t="n">
        <v>2.11</v>
      </c>
      <c r="I181" s="2" t="n">
        <v>400</v>
      </c>
      <c r="J181" s="15" t="n">
        <f aca="false">I181/H181</f>
        <v>189.57345971564</v>
      </c>
      <c r="K181" s="3" t="n">
        <f aca="false">(L181/J181-1)*-1</f>
        <v>0.477775</v>
      </c>
      <c r="L181" s="15" t="n">
        <v>99</v>
      </c>
    </row>
    <row r="182" customFormat="false" ht="14" hidden="false" customHeight="false" outlineLevel="0" collapsed="false">
      <c r="A182" s="1" t="s">
        <v>1597</v>
      </c>
      <c r="B182" s="1" t="s">
        <v>1360</v>
      </c>
      <c r="C182" s="1" t="s">
        <v>21</v>
      </c>
      <c r="D182" s="1" t="s">
        <v>46</v>
      </c>
      <c r="E182" s="1" t="s">
        <v>1726</v>
      </c>
      <c r="F182" s="1" t="s">
        <v>1727</v>
      </c>
      <c r="G182" s="1" t="s">
        <v>24</v>
      </c>
      <c r="H182" s="1" t="n">
        <v>1.36</v>
      </c>
      <c r="I182" s="2" t="n">
        <v>358</v>
      </c>
      <c r="J182" s="15" t="n">
        <f aca="false">I182/H182</f>
        <v>263.235294117647</v>
      </c>
      <c r="K182" s="3" t="n">
        <f aca="false">(L182/J182-1)*-1</f>
        <v>0.47195530726257</v>
      </c>
      <c r="L182" s="15" t="n">
        <v>139</v>
      </c>
    </row>
    <row r="183" customFormat="false" ht="14" hidden="false" customHeight="false" outlineLevel="0" collapsed="false">
      <c r="A183" s="1" t="s">
        <v>1597</v>
      </c>
      <c r="B183" s="1" t="s">
        <v>1360</v>
      </c>
      <c r="C183" s="1" t="s">
        <v>21</v>
      </c>
      <c r="D183" s="1" t="s">
        <v>46</v>
      </c>
      <c r="E183" s="1" t="s">
        <v>1728</v>
      </c>
      <c r="F183" s="1" t="s">
        <v>1729</v>
      </c>
      <c r="G183" s="1" t="s">
        <v>24</v>
      </c>
      <c r="H183" s="1" t="n">
        <v>2.11</v>
      </c>
      <c r="I183" s="2" t="n">
        <v>529</v>
      </c>
      <c r="J183" s="15" t="n">
        <f aca="false">I183/H183</f>
        <v>250.710900473934</v>
      </c>
      <c r="K183" s="3" t="n">
        <f aca="false">(L183/J183-1)*-1</f>
        <v>0.365803402646503</v>
      </c>
      <c r="L183" s="15" t="n">
        <v>159</v>
      </c>
    </row>
    <row r="184" customFormat="false" ht="14" hidden="false" customHeight="false" outlineLevel="0" collapsed="false">
      <c r="A184" s="1" t="s">
        <v>1597</v>
      </c>
      <c r="B184" s="1" t="s">
        <v>1360</v>
      </c>
      <c r="C184" s="1" t="s">
        <v>21</v>
      </c>
      <c r="D184" s="1" t="s">
        <v>46</v>
      </c>
      <c r="E184" s="1" t="s">
        <v>1730</v>
      </c>
      <c r="F184" s="1" t="s">
        <v>1731</v>
      </c>
      <c r="G184" s="1" t="s">
        <v>24</v>
      </c>
      <c r="H184" s="1" t="n">
        <v>0.99</v>
      </c>
      <c r="I184" s="2" t="n">
        <v>227</v>
      </c>
      <c r="J184" s="15" t="n">
        <f aca="false">I184/H184</f>
        <v>229.292929292929</v>
      </c>
      <c r="K184" s="3" t="n">
        <f aca="false">(L184/J184-1)*-1</f>
        <v>0.219339207048458</v>
      </c>
      <c r="L184" s="15" t="n">
        <v>179</v>
      </c>
    </row>
    <row r="185" customFormat="false" ht="14" hidden="false" customHeight="false" outlineLevel="0" collapsed="false">
      <c r="A185" s="1" t="s">
        <v>1597</v>
      </c>
      <c r="B185" s="1" t="s">
        <v>1360</v>
      </c>
      <c r="C185" s="1" t="s">
        <v>21</v>
      </c>
      <c r="D185" s="1" t="s">
        <v>46</v>
      </c>
      <c r="E185" s="1" t="s">
        <v>1732</v>
      </c>
      <c r="F185" s="1" t="s">
        <v>1733</v>
      </c>
      <c r="G185" s="1" t="s">
        <v>24</v>
      </c>
      <c r="H185" s="1" t="n">
        <v>1.8</v>
      </c>
      <c r="I185" s="2" t="n">
        <v>743</v>
      </c>
      <c r="J185" s="15" t="n">
        <f aca="false">I185/H185</f>
        <v>412.777777777778</v>
      </c>
      <c r="K185" s="3" t="n">
        <f aca="false">(L185/J185-1)*-1</f>
        <v>0.396769851951548</v>
      </c>
      <c r="L185" s="15" t="n">
        <v>249</v>
      </c>
    </row>
    <row r="186" customFormat="false" ht="14" hidden="false" customHeight="false" outlineLevel="0" collapsed="false">
      <c r="A186" s="1" t="s">
        <v>1597</v>
      </c>
      <c r="B186" s="1" t="s">
        <v>1360</v>
      </c>
      <c r="C186" s="1" t="s">
        <v>21</v>
      </c>
      <c r="D186" s="1" t="s">
        <v>46</v>
      </c>
      <c r="E186" s="1" t="s">
        <v>1734</v>
      </c>
      <c r="F186" s="1" t="s">
        <v>1735</v>
      </c>
      <c r="G186" s="1" t="s">
        <v>24</v>
      </c>
      <c r="H186" s="1" t="n">
        <v>1.44</v>
      </c>
      <c r="I186" s="2" t="n">
        <v>449</v>
      </c>
      <c r="J186" s="15" t="n">
        <f aca="false">I186/H186</f>
        <v>311.805555555556</v>
      </c>
      <c r="K186" s="3" t="n">
        <f aca="false">(L186/J186-1)*-1</f>
        <v>0.265567928730512</v>
      </c>
      <c r="L186" s="15" t="n">
        <v>229</v>
      </c>
    </row>
    <row r="187" customFormat="false" ht="14" hidden="false" customHeight="false" outlineLevel="0" collapsed="false">
      <c r="A187" s="1" t="s">
        <v>1597</v>
      </c>
      <c r="B187" s="1" t="s">
        <v>1360</v>
      </c>
      <c r="C187" s="1" t="s">
        <v>21</v>
      </c>
      <c r="D187" s="1" t="s">
        <v>46</v>
      </c>
      <c r="E187" s="1" t="s">
        <v>1736</v>
      </c>
      <c r="F187" s="1" t="s">
        <v>1737</v>
      </c>
      <c r="G187" s="1" t="s">
        <v>24</v>
      </c>
      <c r="H187" s="1" t="n">
        <v>0.99</v>
      </c>
      <c r="I187" s="2" t="n">
        <v>189</v>
      </c>
      <c r="J187" s="15" t="n">
        <f aca="false">I187/H187</f>
        <v>190.909090909091</v>
      </c>
      <c r="K187" s="3" t="n">
        <f aca="false">(L187/J187-1)*-1</f>
        <v>0.271904761904762</v>
      </c>
      <c r="L187" s="15" t="n">
        <v>139</v>
      </c>
    </row>
    <row r="188" customFormat="false" ht="14" hidden="false" customHeight="false" outlineLevel="0" collapsed="false">
      <c r="A188" s="1" t="s">
        <v>1597</v>
      </c>
      <c r="B188" s="1" t="s">
        <v>1360</v>
      </c>
      <c r="C188" s="1" t="s">
        <v>21</v>
      </c>
      <c r="D188" s="1" t="s">
        <v>46</v>
      </c>
      <c r="E188" s="1" t="s">
        <v>1738</v>
      </c>
      <c r="F188" s="1" t="s">
        <v>1739</v>
      </c>
      <c r="G188" s="1" t="s">
        <v>24</v>
      </c>
      <c r="H188" s="1" t="n">
        <v>1.83</v>
      </c>
      <c r="I188" s="2" t="n">
        <v>609</v>
      </c>
      <c r="J188" s="15" t="n">
        <f aca="false">I188/H188</f>
        <v>332.786885245902</v>
      </c>
      <c r="K188" s="3" t="n">
        <f aca="false">(L188/J188-1)*-1</f>
        <v>0.552266009852217</v>
      </c>
      <c r="L188" s="15" t="n">
        <v>149</v>
      </c>
    </row>
    <row r="189" customFormat="false" ht="14" hidden="false" customHeight="false" outlineLevel="0" collapsed="false">
      <c r="A189" s="1" t="s">
        <v>1597</v>
      </c>
      <c r="B189" s="1" t="s">
        <v>1360</v>
      </c>
      <c r="C189" s="1" t="s">
        <v>21</v>
      </c>
      <c r="D189" s="1" t="s">
        <v>46</v>
      </c>
      <c r="E189" s="1" t="s">
        <v>1740</v>
      </c>
      <c r="F189" s="1" t="s">
        <v>1741</v>
      </c>
      <c r="G189" s="1" t="s">
        <v>24</v>
      </c>
      <c r="H189" s="1" t="n">
        <v>1.28</v>
      </c>
      <c r="I189" s="2" t="n">
        <v>1099</v>
      </c>
      <c r="J189" s="15" t="n">
        <f aca="false">I189/H189</f>
        <v>858.59375</v>
      </c>
      <c r="K189" s="3" t="n">
        <f aca="false">(L189/J189-1)*-1</f>
        <v>0.302347588717016</v>
      </c>
      <c r="L189" s="15" t="n">
        <v>599</v>
      </c>
    </row>
    <row r="190" customFormat="false" ht="14" hidden="false" customHeight="false" outlineLevel="0" collapsed="false">
      <c r="A190" s="1" t="s">
        <v>1597</v>
      </c>
      <c r="B190" s="1" t="s">
        <v>1360</v>
      </c>
      <c r="C190" s="1" t="s">
        <v>21</v>
      </c>
      <c r="D190" s="1" t="s">
        <v>46</v>
      </c>
      <c r="E190" s="1" t="s">
        <v>1742</v>
      </c>
      <c r="F190" s="1" t="s">
        <v>1743</v>
      </c>
      <c r="G190" s="1" t="s">
        <v>24</v>
      </c>
      <c r="H190" s="1" t="n">
        <v>1.81</v>
      </c>
      <c r="I190" s="2" t="n">
        <v>649</v>
      </c>
      <c r="J190" s="15" t="n">
        <f aca="false">I190/H190</f>
        <v>358.563535911602</v>
      </c>
      <c r="K190" s="3" t="n">
        <f aca="false">(L190/J190-1)*-1</f>
        <v>0.277673343605547</v>
      </c>
      <c r="L190" s="15" t="n">
        <v>259</v>
      </c>
    </row>
    <row r="191" customFormat="false" ht="14" hidden="false" customHeight="false" outlineLevel="0" collapsed="false">
      <c r="A191" s="1" t="s">
        <v>1744</v>
      </c>
      <c r="B191" s="1" t="s">
        <v>1360</v>
      </c>
      <c r="C191" s="1" t="s">
        <v>21</v>
      </c>
      <c r="D191" s="1" t="s">
        <v>22</v>
      </c>
      <c r="E191" s="10" t="n">
        <v>520012413847061</v>
      </c>
      <c r="F191" s="1" t="s">
        <v>1745</v>
      </c>
      <c r="G191" s="1" t="s">
        <v>24</v>
      </c>
      <c r="H191" s="1" t="n">
        <v>1.64</v>
      </c>
      <c r="I191" s="2" t="n">
        <v>573</v>
      </c>
      <c r="J191" s="15" t="n">
        <f aca="false">I191/H191</f>
        <v>349.390243902439</v>
      </c>
      <c r="K191" s="3" t="n">
        <f aca="false">(L191/J191-1)*-1</f>
        <v>0.544921465968586</v>
      </c>
      <c r="L191" s="15" t="n">
        <v>159</v>
      </c>
    </row>
    <row r="192" customFormat="false" ht="14" hidden="false" customHeight="false" outlineLevel="0" collapsed="false">
      <c r="A192" s="1" t="s">
        <v>1597</v>
      </c>
      <c r="B192" s="1" t="s">
        <v>1360</v>
      </c>
      <c r="C192" s="1" t="s">
        <v>21</v>
      </c>
      <c r="D192" s="1" t="s">
        <v>46</v>
      </c>
      <c r="E192" s="10" t="s">
        <v>1612</v>
      </c>
      <c r="F192" s="10" t="s">
        <v>1613</v>
      </c>
      <c r="G192" s="1" t="s">
        <v>24</v>
      </c>
      <c r="H192" s="1" t="n">
        <v>1.62</v>
      </c>
      <c r="I192" s="2" t="n">
        <v>679</v>
      </c>
      <c r="J192" s="15" t="n">
        <f aca="false">I192/H192</f>
        <v>419.135802469136</v>
      </c>
      <c r="K192" s="3" t="n">
        <f aca="false">(L192/J192-1)*-1</f>
        <v>0.525213549337261</v>
      </c>
      <c r="L192" s="15" t="n">
        <v>199</v>
      </c>
    </row>
    <row r="193" customFormat="false" ht="14" hidden="false" customHeight="false" outlineLevel="0" collapsed="false">
      <c r="A193" s="1" t="s">
        <v>1597</v>
      </c>
      <c r="B193" s="1" t="s">
        <v>1360</v>
      </c>
      <c r="C193" s="1" t="s">
        <v>21</v>
      </c>
      <c r="D193" s="1" t="s">
        <v>46</v>
      </c>
      <c r="E193" s="10" t="s">
        <v>1600</v>
      </c>
      <c r="F193" s="10" t="s">
        <v>1601</v>
      </c>
      <c r="G193" s="1" t="s">
        <v>24</v>
      </c>
      <c r="H193" s="1" t="n">
        <v>1.62</v>
      </c>
      <c r="I193" s="2" t="n">
        <v>679</v>
      </c>
      <c r="J193" s="15" t="n">
        <f aca="false">I193/H193</f>
        <v>419.135802469136</v>
      </c>
      <c r="K193" s="3" t="n">
        <f aca="false">(L193/J193-1)*-1</f>
        <v>0.525213549337261</v>
      </c>
      <c r="L193" s="15" t="n">
        <v>199</v>
      </c>
    </row>
    <row r="194" customFormat="false" ht="14" hidden="false" customHeight="false" outlineLevel="0" collapsed="false">
      <c r="A194" s="1" t="s">
        <v>1597</v>
      </c>
      <c r="B194" s="1" t="s">
        <v>1360</v>
      </c>
      <c r="C194" s="1" t="s">
        <v>21</v>
      </c>
      <c r="D194" s="1" t="s">
        <v>46</v>
      </c>
      <c r="E194" s="10" t="s">
        <v>1746</v>
      </c>
      <c r="F194" s="10" t="s">
        <v>1747</v>
      </c>
      <c r="G194" s="1" t="s">
        <v>24</v>
      </c>
      <c r="H194" s="1" t="n">
        <v>1.8</v>
      </c>
      <c r="I194" s="2" t="n">
        <v>591</v>
      </c>
      <c r="J194" s="15" t="n">
        <f aca="false">I194/H194</f>
        <v>328.333333333333</v>
      </c>
      <c r="K194" s="3" t="n">
        <f aca="false">(L194/J194-1)*-1</f>
        <v>0.363451776649746</v>
      </c>
      <c r="L194" s="15" t="n">
        <v>209</v>
      </c>
    </row>
    <row r="195" customFormat="false" ht="14" hidden="false" customHeight="false" outlineLevel="0" collapsed="false">
      <c r="A195" s="1" t="s">
        <v>1597</v>
      </c>
      <c r="B195" s="1" t="s">
        <v>1360</v>
      </c>
      <c r="C195" s="1" t="s">
        <v>21</v>
      </c>
      <c r="D195" s="1" t="s">
        <v>46</v>
      </c>
      <c r="E195" s="10" t="s">
        <v>1632</v>
      </c>
      <c r="F195" s="10" t="s">
        <v>1633</v>
      </c>
      <c r="G195" s="1" t="s">
        <v>24</v>
      </c>
      <c r="H195" s="1" t="n">
        <v>1.6</v>
      </c>
      <c r="I195" s="2" t="n">
        <v>569</v>
      </c>
      <c r="J195" s="15" t="n">
        <f aca="false">I195/H195</f>
        <v>355.625</v>
      </c>
      <c r="K195" s="3" t="n">
        <f aca="false">(L195/J195-1)*-1</f>
        <v>0.356063268892794</v>
      </c>
      <c r="L195" s="15" t="n">
        <v>229</v>
      </c>
    </row>
    <row r="196" customFormat="false" ht="14" hidden="false" customHeight="false" outlineLevel="0" collapsed="false">
      <c r="A196" s="1" t="s">
        <v>1597</v>
      </c>
      <c r="B196" s="1" t="s">
        <v>1360</v>
      </c>
      <c r="C196" s="1" t="s">
        <v>21</v>
      </c>
      <c r="D196" s="1" t="s">
        <v>46</v>
      </c>
      <c r="E196" s="10" t="s">
        <v>1676</v>
      </c>
      <c r="F196" s="10" t="s">
        <v>1677</v>
      </c>
      <c r="G196" s="1" t="s">
        <v>24</v>
      </c>
      <c r="H196" s="1" t="n">
        <v>1.28</v>
      </c>
      <c r="I196" s="2" t="n">
        <v>1099</v>
      </c>
      <c r="J196" s="15" t="n">
        <f aca="false">I196/H196</f>
        <v>858.59375</v>
      </c>
      <c r="K196" s="3" t="n">
        <f aca="false">(L196/J196-1)*-1</f>
        <v>0.302347588717016</v>
      </c>
      <c r="L196" s="15" t="n">
        <v>599</v>
      </c>
    </row>
    <row r="197" customFormat="false" ht="14" hidden="false" customHeight="false" outlineLevel="0" collapsed="false">
      <c r="A197" s="1" t="s">
        <v>1597</v>
      </c>
      <c r="B197" s="1" t="s">
        <v>1360</v>
      </c>
      <c r="C197" s="1" t="s">
        <v>21</v>
      </c>
      <c r="D197" s="1" t="s">
        <v>46</v>
      </c>
      <c r="E197" s="10" t="s">
        <v>1748</v>
      </c>
      <c r="F197" s="10" t="s">
        <v>1749</v>
      </c>
      <c r="G197" s="1" t="s">
        <v>24</v>
      </c>
      <c r="H197" s="1" t="n">
        <v>1.28</v>
      </c>
      <c r="I197" s="2" t="n">
        <v>1099</v>
      </c>
      <c r="J197" s="15" t="n">
        <f aca="false">I197/H197</f>
        <v>858.59375</v>
      </c>
      <c r="K197" s="3" t="n">
        <f aca="false">(L197/J197-1)*-1</f>
        <v>0.302347588717016</v>
      </c>
      <c r="L197" s="15" t="n">
        <v>599</v>
      </c>
    </row>
    <row r="198" customFormat="false" ht="14" hidden="false" customHeight="false" outlineLevel="0" collapsed="false">
      <c r="A198" s="1" t="s">
        <v>1196</v>
      </c>
      <c r="B198" s="1" t="s">
        <v>1360</v>
      </c>
      <c r="C198" s="1" t="s">
        <v>1233</v>
      </c>
      <c r="D198" s="1" t="s">
        <v>1750</v>
      </c>
      <c r="E198" s="1" t="n">
        <v>50582021</v>
      </c>
      <c r="F198" s="1" t="s">
        <v>1751</v>
      </c>
      <c r="G198" s="1" t="s">
        <v>1207</v>
      </c>
      <c r="L198" s="33" t="n">
        <v>2079</v>
      </c>
    </row>
    <row r="199" customFormat="false" ht="14" hidden="false" customHeight="false" outlineLevel="0" collapsed="false">
      <c r="A199" s="1" t="s">
        <v>1196</v>
      </c>
      <c r="B199" s="1" t="s">
        <v>1360</v>
      </c>
      <c r="C199" s="1" t="s">
        <v>1233</v>
      </c>
      <c r="D199" s="1" t="s">
        <v>1750</v>
      </c>
      <c r="E199" s="1" t="n">
        <v>51454021</v>
      </c>
      <c r="F199" s="1" t="s">
        <v>1752</v>
      </c>
      <c r="G199" s="1" t="s">
        <v>1207</v>
      </c>
      <c r="L199" s="33"/>
    </row>
    <row r="200" customFormat="false" ht="14" hidden="false" customHeight="false" outlineLevel="0" collapsed="false">
      <c r="A200" s="1" t="s">
        <v>1196</v>
      </c>
      <c r="B200" s="1" t="s">
        <v>1360</v>
      </c>
      <c r="C200" s="1" t="s">
        <v>1233</v>
      </c>
      <c r="D200" s="1" t="s">
        <v>1750</v>
      </c>
      <c r="E200" s="1" t="n">
        <v>52006022</v>
      </c>
      <c r="F200" s="1" t="s">
        <v>1753</v>
      </c>
      <c r="G200" s="1" t="s">
        <v>1207</v>
      </c>
      <c r="L200" s="33"/>
    </row>
    <row r="201" customFormat="false" ht="14" hidden="false" customHeight="false" outlineLevel="0" collapsed="false">
      <c r="A201" s="1" t="s">
        <v>1196</v>
      </c>
      <c r="B201" s="1" t="s">
        <v>1360</v>
      </c>
      <c r="C201" s="1" t="s">
        <v>1233</v>
      </c>
      <c r="D201" s="1" t="s">
        <v>1750</v>
      </c>
      <c r="E201" s="1" t="n">
        <v>53006022</v>
      </c>
      <c r="F201" s="1" t="s">
        <v>1754</v>
      </c>
      <c r="G201" s="1" t="s">
        <v>1207</v>
      </c>
      <c r="L201" s="33"/>
    </row>
    <row r="202" customFormat="false" ht="14" hidden="false" customHeight="false" outlineLevel="0" collapsed="false">
      <c r="A202" s="1" t="s">
        <v>1196</v>
      </c>
      <c r="B202" s="1" t="s">
        <v>1360</v>
      </c>
      <c r="C202" s="1" t="s">
        <v>1233</v>
      </c>
      <c r="D202" s="1" t="s">
        <v>1755</v>
      </c>
      <c r="E202" s="1" t="n">
        <v>50106023</v>
      </c>
      <c r="F202" s="1" t="s">
        <v>1756</v>
      </c>
      <c r="G202" s="1" t="s">
        <v>1207</v>
      </c>
      <c r="L202" s="33" t="n">
        <v>2189</v>
      </c>
    </row>
    <row r="203" customFormat="false" ht="14" hidden="false" customHeight="false" outlineLevel="0" collapsed="false">
      <c r="A203" s="1" t="s">
        <v>1196</v>
      </c>
      <c r="B203" s="1" t="s">
        <v>1360</v>
      </c>
      <c r="C203" s="1" t="s">
        <v>1233</v>
      </c>
      <c r="D203" s="1" t="s">
        <v>1755</v>
      </c>
      <c r="E203" s="1" t="n">
        <v>52010023</v>
      </c>
      <c r="F203" s="1" t="s">
        <v>1757</v>
      </c>
      <c r="G203" s="1" t="s">
        <v>1207</v>
      </c>
      <c r="L203" s="33"/>
    </row>
    <row r="204" customFormat="false" ht="14" hidden="false" customHeight="false" outlineLevel="0" collapsed="false">
      <c r="A204" s="1" t="s">
        <v>1196</v>
      </c>
      <c r="B204" s="1" t="s">
        <v>1360</v>
      </c>
      <c r="C204" s="1" t="s">
        <v>1233</v>
      </c>
      <c r="D204" s="1" t="s">
        <v>1755</v>
      </c>
      <c r="E204" s="1" t="n">
        <v>53010022</v>
      </c>
      <c r="F204" s="1" t="s">
        <v>1758</v>
      </c>
      <c r="G204" s="1" t="s">
        <v>1207</v>
      </c>
      <c r="L204" s="33"/>
    </row>
    <row r="205" customFormat="false" ht="14" hidden="false" customHeight="false" outlineLevel="0" collapsed="false">
      <c r="A205" s="1" t="s">
        <v>1196</v>
      </c>
      <c r="B205" s="1" t="s">
        <v>1360</v>
      </c>
      <c r="C205" s="1" t="s">
        <v>1233</v>
      </c>
      <c r="D205" s="1" t="s">
        <v>1755</v>
      </c>
      <c r="E205" s="1" t="s">
        <v>1242</v>
      </c>
      <c r="F205" s="1" t="s">
        <v>1243</v>
      </c>
      <c r="G205" s="1" t="s">
        <v>1207</v>
      </c>
      <c r="L205" s="33"/>
    </row>
    <row r="206" customFormat="false" ht="14" hidden="false" customHeight="false" outlineLevel="0" collapsed="false">
      <c r="A206" s="1" t="s">
        <v>1196</v>
      </c>
      <c r="B206" s="1" t="s">
        <v>1360</v>
      </c>
      <c r="C206" s="1" t="s">
        <v>1233</v>
      </c>
      <c r="D206" s="1" t="s">
        <v>1759</v>
      </c>
      <c r="E206" s="1" t="s">
        <v>1760</v>
      </c>
      <c r="F206" s="1" t="s">
        <v>1761</v>
      </c>
      <c r="G206" s="1" t="s">
        <v>1207</v>
      </c>
      <c r="L206" s="33" t="n">
        <v>1899</v>
      </c>
    </row>
    <row r="207" customFormat="false" ht="14" hidden="false" customHeight="false" outlineLevel="0" collapsed="false">
      <c r="A207" s="1" t="s">
        <v>1196</v>
      </c>
      <c r="B207" s="1" t="s">
        <v>1360</v>
      </c>
      <c r="C207" s="1" t="s">
        <v>1233</v>
      </c>
      <c r="D207" s="1" t="s">
        <v>1759</v>
      </c>
      <c r="E207" s="1" t="s">
        <v>1762</v>
      </c>
      <c r="F207" s="1" t="s">
        <v>1763</v>
      </c>
      <c r="G207" s="1" t="s">
        <v>1207</v>
      </c>
      <c r="L207" s="33"/>
    </row>
    <row r="208" customFormat="false" ht="14" hidden="false" customHeight="false" outlineLevel="0" collapsed="false">
      <c r="A208" s="1" t="s">
        <v>1196</v>
      </c>
      <c r="B208" s="1" t="s">
        <v>1360</v>
      </c>
      <c r="C208" s="1" t="s">
        <v>1233</v>
      </c>
      <c r="D208" s="1" t="s">
        <v>1764</v>
      </c>
      <c r="E208" s="1" t="n">
        <v>50083023</v>
      </c>
      <c r="F208" s="1" t="s">
        <v>1765</v>
      </c>
      <c r="G208" s="1" t="s">
        <v>1207</v>
      </c>
      <c r="L208" s="33" t="n">
        <v>1539</v>
      </c>
    </row>
    <row r="209" customFormat="false" ht="14" hidden="false" customHeight="false" outlineLevel="0" collapsed="false">
      <c r="A209" s="1" t="s">
        <v>1196</v>
      </c>
      <c r="B209" s="1" t="s">
        <v>1360</v>
      </c>
      <c r="C209" s="1" t="s">
        <v>1233</v>
      </c>
      <c r="D209" s="1" t="s">
        <v>1764</v>
      </c>
      <c r="E209" s="1" t="n">
        <v>51454021</v>
      </c>
      <c r="F209" s="1" t="s">
        <v>1752</v>
      </c>
      <c r="G209" s="1" t="s">
        <v>1207</v>
      </c>
      <c r="L209" s="33"/>
    </row>
    <row r="210" customFormat="false" ht="14" hidden="false" customHeight="false" outlineLevel="0" collapsed="false">
      <c r="A210" s="1" t="s">
        <v>1196</v>
      </c>
      <c r="B210" s="1" t="s">
        <v>1360</v>
      </c>
      <c r="C210" s="1" t="s">
        <v>1233</v>
      </c>
      <c r="D210" s="1" t="s">
        <v>1764</v>
      </c>
      <c r="E210" s="1" t="n">
        <v>52458022</v>
      </c>
      <c r="F210" s="1" t="s">
        <v>1766</v>
      </c>
      <c r="G210" s="1" t="s">
        <v>1207</v>
      </c>
      <c r="L210" s="33"/>
    </row>
    <row r="211" customFormat="false" ht="14" hidden="false" customHeight="false" outlineLevel="0" collapsed="false">
      <c r="A211" s="1" t="s">
        <v>1196</v>
      </c>
      <c r="B211" s="1" t="s">
        <v>1360</v>
      </c>
      <c r="C211" s="1" t="s">
        <v>1233</v>
      </c>
      <c r="D211" s="1" t="s">
        <v>1764</v>
      </c>
      <c r="E211" s="1" t="n">
        <v>4022</v>
      </c>
      <c r="F211" s="1" t="s">
        <v>1767</v>
      </c>
      <c r="G211" s="1" t="s">
        <v>1207</v>
      </c>
      <c r="L211" s="33"/>
    </row>
    <row r="212" customFormat="false" ht="14" hidden="false" customHeight="false" outlineLevel="0" collapsed="false">
      <c r="A212" s="1" t="s">
        <v>1196</v>
      </c>
      <c r="B212" s="1" t="s">
        <v>1360</v>
      </c>
      <c r="C212" s="1" t="s">
        <v>1233</v>
      </c>
      <c r="D212" s="1" t="s">
        <v>1768</v>
      </c>
      <c r="E212" s="1" t="n">
        <v>50106023</v>
      </c>
      <c r="F212" s="1" t="s">
        <v>1756</v>
      </c>
      <c r="G212" s="1" t="s">
        <v>1207</v>
      </c>
      <c r="L212" s="33" t="n">
        <v>2189</v>
      </c>
    </row>
    <row r="213" customFormat="false" ht="14" hidden="false" customHeight="false" outlineLevel="0" collapsed="false">
      <c r="A213" s="1" t="s">
        <v>1196</v>
      </c>
      <c r="B213" s="1" t="s">
        <v>1360</v>
      </c>
      <c r="C213" s="1" t="s">
        <v>1233</v>
      </c>
      <c r="D213" s="1" t="s">
        <v>1768</v>
      </c>
      <c r="E213" s="1" t="s">
        <v>1769</v>
      </c>
      <c r="F213" s="1" t="s">
        <v>1770</v>
      </c>
      <c r="G213" s="1" t="s">
        <v>1207</v>
      </c>
      <c r="L213" s="33"/>
    </row>
    <row r="214" customFormat="false" ht="14" hidden="false" customHeight="false" outlineLevel="0" collapsed="false">
      <c r="A214" s="1" t="s">
        <v>1196</v>
      </c>
      <c r="B214" s="1" t="s">
        <v>1360</v>
      </c>
      <c r="C214" s="1" t="s">
        <v>1233</v>
      </c>
      <c r="D214" s="1" t="s">
        <v>1768</v>
      </c>
      <c r="E214" s="1" t="n">
        <v>52010023</v>
      </c>
      <c r="F214" s="1" t="s">
        <v>1757</v>
      </c>
      <c r="G214" s="1" t="s">
        <v>1207</v>
      </c>
      <c r="L214" s="33"/>
    </row>
    <row r="215" customFormat="false" ht="14" hidden="false" customHeight="false" outlineLevel="0" collapsed="false">
      <c r="A215" s="1" t="s">
        <v>1196</v>
      </c>
      <c r="B215" s="1" t="s">
        <v>1360</v>
      </c>
      <c r="C215" s="1" t="s">
        <v>1233</v>
      </c>
      <c r="D215" s="1" t="s">
        <v>1768</v>
      </c>
      <c r="E215" s="1" t="n">
        <v>53010022</v>
      </c>
      <c r="F215" s="1" t="s">
        <v>1758</v>
      </c>
      <c r="G215" s="1" t="s">
        <v>1207</v>
      </c>
      <c r="L215" s="33"/>
    </row>
    <row r="216" customFormat="false" ht="14" hidden="false" customHeight="false" outlineLevel="0" collapsed="false">
      <c r="A216" s="1" t="s">
        <v>1196</v>
      </c>
      <c r="B216" s="1" t="s">
        <v>1360</v>
      </c>
      <c r="C216" s="1" t="s">
        <v>1233</v>
      </c>
      <c r="D216" s="1" t="s">
        <v>1771</v>
      </c>
      <c r="E216" s="1" t="n">
        <v>50106043</v>
      </c>
      <c r="F216" s="1" t="s">
        <v>1235</v>
      </c>
      <c r="G216" s="1" t="s">
        <v>1207</v>
      </c>
      <c r="L216" s="33" t="n">
        <v>2599</v>
      </c>
    </row>
    <row r="217" customFormat="false" ht="14" hidden="false" customHeight="false" outlineLevel="0" collapsed="false">
      <c r="A217" s="1" t="s">
        <v>1196</v>
      </c>
      <c r="B217" s="1" t="s">
        <v>1360</v>
      </c>
      <c r="C217" s="1" t="s">
        <v>1233</v>
      </c>
      <c r="D217" s="1" t="s">
        <v>1771</v>
      </c>
      <c r="E217" s="1" t="n">
        <v>51455042</v>
      </c>
      <c r="F217" s="1" t="s">
        <v>1772</v>
      </c>
      <c r="G217" s="1" t="s">
        <v>1207</v>
      </c>
      <c r="L217" s="33"/>
    </row>
    <row r="218" customFormat="false" ht="14" hidden="false" customHeight="false" outlineLevel="0" collapsed="false">
      <c r="A218" s="1" t="s">
        <v>1196</v>
      </c>
      <c r="B218" s="1" t="s">
        <v>1360</v>
      </c>
      <c r="C218" s="1" t="s">
        <v>1233</v>
      </c>
      <c r="D218" s="1" t="s">
        <v>1771</v>
      </c>
      <c r="E218" s="1" t="n">
        <v>52010043</v>
      </c>
      <c r="F218" s="1" t="s">
        <v>1773</v>
      </c>
      <c r="G218" s="1" t="s">
        <v>1207</v>
      </c>
      <c r="L218" s="33"/>
    </row>
    <row r="219" customFormat="false" ht="14" hidden="false" customHeight="false" outlineLevel="0" collapsed="false">
      <c r="A219" s="1" t="s">
        <v>1196</v>
      </c>
      <c r="B219" s="1" t="s">
        <v>1360</v>
      </c>
      <c r="C219" s="1" t="s">
        <v>1233</v>
      </c>
      <c r="D219" s="1" t="s">
        <v>1771</v>
      </c>
      <c r="E219" s="1" t="n">
        <v>53010042</v>
      </c>
      <c r="F219" s="1" t="s">
        <v>1238</v>
      </c>
      <c r="G219" s="1" t="s">
        <v>1207</v>
      </c>
      <c r="L219" s="33"/>
    </row>
    <row r="220" customFormat="false" ht="14" hidden="false" customHeight="false" outlineLevel="0" collapsed="false">
      <c r="A220" s="1" t="s">
        <v>1196</v>
      </c>
      <c r="B220" s="1" t="s">
        <v>1360</v>
      </c>
      <c r="C220" s="1" t="s">
        <v>1233</v>
      </c>
      <c r="D220" s="1" t="s">
        <v>1774</v>
      </c>
      <c r="E220" s="1" t="n">
        <v>50455022</v>
      </c>
      <c r="F220" s="1" t="s">
        <v>1240</v>
      </c>
      <c r="G220" s="1" t="s">
        <v>1207</v>
      </c>
      <c r="L220" s="33" t="n">
        <v>2389</v>
      </c>
    </row>
    <row r="221" customFormat="false" ht="14" hidden="false" customHeight="false" outlineLevel="0" collapsed="false">
      <c r="A221" s="1" t="s">
        <v>1196</v>
      </c>
      <c r="B221" s="1" t="s">
        <v>1360</v>
      </c>
      <c r="C221" s="1" t="s">
        <v>1233</v>
      </c>
      <c r="D221" s="1" t="s">
        <v>1774</v>
      </c>
      <c r="E221" s="1" t="s">
        <v>1769</v>
      </c>
      <c r="F221" s="1" t="s">
        <v>1770</v>
      </c>
      <c r="G221" s="1" t="s">
        <v>1207</v>
      </c>
      <c r="L221" s="33"/>
    </row>
    <row r="222" customFormat="false" ht="14" hidden="false" customHeight="false" outlineLevel="0" collapsed="false">
      <c r="A222" s="1" t="s">
        <v>1196</v>
      </c>
      <c r="B222" s="1" t="s">
        <v>1360</v>
      </c>
      <c r="C222" s="1" t="s">
        <v>1233</v>
      </c>
      <c r="D222" s="1" t="s">
        <v>1774</v>
      </c>
      <c r="E222" s="1" t="n">
        <v>53010022</v>
      </c>
      <c r="F222" s="1" t="s">
        <v>1775</v>
      </c>
      <c r="G222" s="1" t="s">
        <v>1207</v>
      </c>
      <c r="L222" s="33"/>
    </row>
    <row r="223" customFormat="false" ht="14" hidden="false" customHeight="false" outlineLevel="0" collapsed="false">
      <c r="A223" s="1" t="s">
        <v>1196</v>
      </c>
      <c r="B223" s="1" t="s">
        <v>1360</v>
      </c>
      <c r="C223" s="1" t="s">
        <v>1233</v>
      </c>
      <c r="D223" s="1" t="s">
        <v>1774</v>
      </c>
      <c r="E223" s="1" t="n">
        <v>52010023</v>
      </c>
      <c r="F223" s="1" t="s">
        <v>1757</v>
      </c>
      <c r="G223" s="1" t="s">
        <v>1207</v>
      </c>
      <c r="L223" s="33"/>
    </row>
    <row r="224" customFormat="false" ht="14" hidden="false" customHeight="false" outlineLevel="0" collapsed="false">
      <c r="A224" s="1" t="s">
        <v>1196</v>
      </c>
      <c r="B224" s="1" t="s">
        <v>1360</v>
      </c>
      <c r="C224" s="1" t="s">
        <v>1233</v>
      </c>
      <c r="D224" s="1" t="s">
        <v>1776</v>
      </c>
      <c r="E224" s="1" t="n">
        <v>50083023</v>
      </c>
      <c r="F224" s="1" t="s">
        <v>1765</v>
      </c>
      <c r="G224" s="1" t="s">
        <v>1207</v>
      </c>
      <c r="L224" s="33" t="n">
        <v>1499</v>
      </c>
    </row>
    <row r="225" customFormat="false" ht="14" hidden="false" customHeight="false" outlineLevel="0" collapsed="false">
      <c r="A225" s="1" t="s">
        <v>1196</v>
      </c>
      <c r="B225" s="1" t="s">
        <v>1360</v>
      </c>
      <c r="C225" s="1" t="s">
        <v>1233</v>
      </c>
      <c r="D225" s="1" t="s">
        <v>1776</v>
      </c>
      <c r="E225" s="1" t="n">
        <v>51453022</v>
      </c>
      <c r="F225" s="1" t="s">
        <v>1777</v>
      </c>
      <c r="G225" s="1" t="s">
        <v>1207</v>
      </c>
      <c r="L225" s="33"/>
    </row>
    <row r="226" customFormat="false" ht="14" hidden="false" customHeight="false" outlineLevel="0" collapsed="false">
      <c r="A226" s="1" t="s">
        <v>1196</v>
      </c>
      <c r="B226" s="1" t="s">
        <v>1360</v>
      </c>
      <c r="C226" s="1" t="s">
        <v>1233</v>
      </c>
      <c r="D226" s="1" t="s">
        <v>1776</v>
      </c>
      <c r="E226" s="1" t="n">
        <v>52006023</v>
      </c>
      <c r="F226" s="1" t="s">
        <v>1778</v>
      </c>
      <c r="G226" s="1" t="s">
        <v>1207</v>
      </c>
      <c r="L226" s="33"/>
    </row>
    <row r="227" customFormat="false" ht="14" hidden="false" customHeight="false" outlineLevel="0" collapsed="false">
      <c r="A227" s="1" t="s">
        <v>1779</v>
      </c>
      <c r="B227" s="1" t="s">
        <v>1360</v>
      </c>
      <c r="C227" s="1" t="s">
        <v>480</v>
      </c>
      <c r="D227" s="1" t="s">
        <v>1780</v>
      </c>
      <c r="E227" s="1" t="s">
        <v>1781</v>
      </c>
      <c r="F227" s="1" t="s">
        <v>1782</v>
      </c>
      <c r="G227" s="1" t="s">
        <v>1783</v>
      </c>
      <c r="H227" s="1" t="n">
        <v>1.44</v>
      </c>
      <c r="I227" s="2" t="n">
        <v>529</v>
      </c>
      <c r="J227" s="15" t="n">
        <f aca="false">I227/H227</f>
        <v>367.361111111111</v>
      </c>
      <c r="K227" s="3" t="n">
        <f aca="false">(L227/J227-1)*-1</f>
        <v>0.186086956521739</v>
      </c>
      <c r="L227" s="2" t="n">
        <v>299</v>
      </c>
    </row>
    <row r="228" customFormat="false" ht="14" hidden="false" customHeight="false" outlineLevel="0" collapsed="false">
      <c r="A228" s="1" t="s">
        <v>1779</v>
      </c>
      <c r="B228" s="1" t="s">
        <v>1360</v>
      </c>
      <c r="C228" s="1" t="s">
        <v>480</v>
      </c>
      <c r="D228" s="1" t="s">
        <v>1780</v>
      </c>
      <c r="E228" s="1" t="s">
        <v>1784</v>
      </c>
      <c r="F228" s="1" t="s">
        <v>1785</v>
      </c>
      <c r="G228" s="1" t="s">
        <v>1783</v>
      </c>
      <c r="H228" s="1" t="n">
        <v>1.44</v>
      </c>
      <c r="I228" s="2" t="n">
        <v>529</v>
      </c>
      <c r="J228" s="15" t="n">
        <f aca="false">I228/H228</f>
        <v>367.361111111111</v>
      </c>
      <c r="K228" s="3" t="n">
        <f aca="false">(L228/J228-1)*-1</f>
        <v>0.240529300567108</v>
      </c>
      <c r="L228" s="2" t="n">
        <v>279</v>
      </c>
    </row>
    <row r="229" customFormat="false" ht="14" hidden="false" customHeight="false" outlineLevel="0" collapsed="false">
      <c r="A229" s="1" t="s">
        <v>1779</v>
      </c>
      <c r="B229" s="1" t="s">
        <v>1360</v>
      </c>
      <c r="C229" s="1" t="s">
        <v>480</v>
      </c>
      <c r="D229" s="1" t="s">
        <v>1780</v>
      </c>
      <c r="E229" s="1" t="s">
        <v>1786</v>
      </c>
      <c r="F229" s="1" t="s">
        <v>1787</v>
      </c>
      <c r="G229" s="1" t="s">
        <v>1783</v>
      </c>
      <c r="H229" s="1" t="n">
        <v>1.44</v>
      </c>
      <c r="I229" s="2" t="n">
        <v>529</v>
      </c>
      <c r="J229" s="15" t="n">
        <f aca="false">I229/H229</f>
        <v>367.361111111111</v>
      </c>
      <c r="K229" s="3" t="n">
        <f aca="false">(L229/J229-1)*-1</f>
        <v>0.213308128544424</v>
      </c>
      <c r="L229" s="2" t="n">
        <v>289</v>
      </c>
    </row>
    <row r="230" customFormat="false" ht="14" hidden="false" customHeight="false" outlineLevel="0" collapsed="false">
      <c r="A230" s="1" t="s">
        <v>1779</v>
      </c>
      <c r="B230" s="1" t="s">
        <v>1360</v>
      </c>
      <c r="C230" s="1" t="s">
        <v>480</v>
      </c>
      <c r="D230" s="1" t="s">
        <v>1780</v>
      </c>
      <c r="E230" s="1" t="s">
        <v>1788</v>
      </c>
      <c r="F230" s="1" t="s">
        <v>1789</v>
      </c>
      <c r="G230" s="1" t="s">
        <v>1783</v>
      </c>
      <c r="H230" s="1" t="n">
        <v>1.44</v>
      </c>
      <c r="I230" s="2" t="n">
        <v>529</v>
      </c>
      <c r="J230" s="15" t="n">
        <f aca="false">I230/H230</f>
        <v>367.361111111111</v>
      </c>
      <c r="K230" s="3" t="n">
        <f aca="false">(L230/J230-1)*-1</f>
        <v>0.213308128544424</v>
      </c>
      <c r="L230" s="2" t="n">
        <v>289</v>
      </c>
    </row>
    <row r="231" customFormat="false" ht="14" hidden="false" customHeight="false" outlineLevel="0" collapsed="false">
      <c r="A231" s="1" t="s">
        <v>1779</v>
      </c>
      <c r="B231" s="1" t="s">
        <v>1360</v>
      </c>
      <c r="C231" s="1" t="s">
        <v>480</v>
      </c>
      <c r="D231" s="1" t="s">
        <v>1780</v>
      </c>
      <c r="E231" s="1" t="s">
        <v>1790</v>
      </c>
      <c r="F231" s="1" t="s">
        <v>1791</v>
      </c>
      <c r="G231" s="1" t="s">
        <v>1783</v>
      </c>
      <c r="H231" s="1" t="n">
        <v>1.44</v>
      </c>
      <c r="I231" s="2" t="n">
        <v>529</v>
      </c>
      <c r="J231" s="15" t="n">
        <f aca="false">I231/H231</f>
        <v>367.361111111111</v>
      </c>
      <c r="K231" s="3" t="n">
        <f aca="false">(L231/J231-1)*-1</f>
        <v>0.240529300567108</v>
      </c>
      <c r="L231" s="2" t="n">
        <v>279</v>
      </c>
    </row>
    <row r="232" customFormat="false" ht="14" hidden="false" customHeight="false" outlineLevel="0" collapsed="false">
      <c r="A232" s="1" t="s">
        <v>1779</v>
      </c>
      <c r="B232" s="1" t="s">
        <v>1360</v>
      </c>
      <c r="C232" s="1" t="s">
        <v>480</v>
      </c>
      <c r="D232" s="1" t="s">
        <v>1780</v>
      </c>
      <c r="E232" s="1" t="s">
        <v>1792</v>
      </c>
      <c r="F232" s="1" t="s">
        <v>1793</v>
      </c>
      <c r="G232" s="1" t="s">
        <v>1783</v>
      </c>
      <c r="H232" s="1" t="n">
        <v>1.44</v>
      </c>
      <c r="I232" s="2" t="n">
        <v>529</v>
      </c>
      <c r="J232" s="15" t="n">
        <f aca="false">I232/H232</f>
        <v>367.361111111111</v>
      </c>
      <c r="K232" s="3" t="n">
        <f aca="false">(L232/J232-1)*-1</f>
        <v>0.213308128544424</v>
      </c>
      <c r="L232" s="2" t="n">
        <v>289</v>
      </c>
    </row>
    <row r="233" customFormat="false" ht="14" hidden="false" customHeight="false" outlineLevel="0" collapsed="false">
      <c r="A233" s="1" t="s">
        <v>1779</v>
      </c>
      <c r="B233" s="1" t="s">
        <v>1360</v>
      </c>
      <c r="C233" s="1" t="s">
        <v>480</v>
      </c>
      <c r="D233" s="1" t="s">
        <v>1780</v>
      </c>
      <c r="E233" s="1" t="s">
        <v>1794</v>
      </c>
      <c r="F233" s="1" t="s">
        <v>1795</v>
      </c>
      <c r="G233" s="1" t="s">
        <v>1783</v>
      </c>
      <c r="H233" s="1" t="n">
        <v>1.44</v>
      </c>
      <c r="I233" s="2" t="n">
        <v>529</v>
      </c>
      <c r="J233" s="15" t="n">
        <f aca="false">I233/H233</f>
        <v>367.361111111111</v>
      </c>
      <c r="K233" s="3" t="n">
        <f aca="false">(L233/J233-1)*-1</f>
        <v>0.267750472589792</v>
      </c>
      <c r="L233" s="2" t="n">
        <v>269</v>
      </c>
    </row>
    <row r="234" customFormat="false" ht="14" hidden="false" customHeight="false" outlineLevel="0" collapsed="false">
      <c r="A234" s="1" t="s">
        <v>1779</v>
      </c>
      <c r="B234" s="1" t="s">
        <v>1360</v>
      </c>
      <c r="C234" s="1" t="s">
        <v>480</v>
      </c>
      <c r="D234" s="1" t="s">
        <v>1780</v>
      </c>
      <c r="E234" s="1" t="s">
        <v>1796</v>
      </c>
      <c r="F234" s="1" t="s">
        <v>1797</v>
      </c>
      <c r="G234" s="1" t="s">
        <v>1783</v>
      </c>
      <c r="H234" s="1" t="n">
        <v>1.44</v>
      </c>
      <c r="I234" s="2" t="n">
        <v>529</v>
      </c>
      <c r="J234" s="15" t="n">
        <f aca="false">I234/H234</f>
        <v>367.361111111111</v>
      </c>
      <c r="K234" s="3" t="n">
        <f aca="false">(L234/J234-1)*-1</f>
        <v>0.186086956521739</v>
      </c>
      <c r="L234" s="2" t="n">
        <v>299</v>
      </c>
    </row>
    <row r="235" customFormat="false" ht="14" hidden="false" customHeight="false" outlineLevel="0" collapsed="false">
      <c r="A235" s="1" t="s">
        <v>1779</v>
      </c>
      <c r="B235" s="1" t="s">
        <v>1360</v>
      </c>
      <c r="C235" s="1" t="s">
        <v>480</v>
      </c>
      <c r="D235" s="1" t="s">
        <v>1780</v>
      </c>
      <c r="E235" s="1" t="s">
        <v>1798</v>
      </c>
      <c r="F235" s="1" t="s">
        <v>1799</v>
      </c>
      <c r="G235" s="1" t="s">
        <v>1783</v>
      </c>
      <c r="H235" s="1" t="n">
        <v>1.44</v>
      </c>
      <c r="I235" s="2" t="n">
        <v>529</v>
      </c>
      <c r="J235" s="15" t="n">
        <f aca="false">I235/H235</f>
        <v>367.361111111111</v>
      </c>
      <c r="K235" s="3" t="n">
        <f aca="false">(L235/J235-1)*-1</f>
        <v>0.186086956521739</v>
      </c>
      <c r="L235" s="15" t="n">
        <v>299</v>
      </c>
    </row>
    <row r="236" customFormat="false" ht="14" hidden="false" customHeight="false" outlineLevel="0" collapsed="false">
      <c r="A236" s="1" t="s">
        <v>1779</v>
      </c>
      <c r="B236" s="1" t="s">
        <v>1360</v>
      </c>
      <c r="C236" s="1" t="s">
        <v>480</v>
      </c>
      <c r="D236" s="1" t="s">
        <v>1780</v>
      </c>
      <c r="E236" s="1" t="s">
        <v>1800</v>
      </c>
      <c r="F236" s="1" t="s">
        <v>1801</v>
      </c>
      <c r="G236" s="1" t="s">
        <v>1783</v>
      </c>
      <c r="H236" s="1" t="n">
        <v>1.63</v>
      </c>
      <c r="I236" s="2" t="n">
        <v>399</v>
      </c>
      <c r="J236" s="2" t="n">
        <f aca="false">I236/H236</f>
        <v>244.78527607362</v>
      </c>
      <c r="K236" s="3" t="n">
        <f aca="false">(L236/J236-1)*-1</f>
        <v>0.26874686716792</v>
      </c>
      <c r="L236" s="2" t="n">
        <v>179</v>
      </c>
    </row>
    <row r="237" customFormat="false" ht="14" hidden="false" customHeight="false" outlineLevel="0" collapsed="false">
      <c r="A237" s="1" t="s">
        <v>1779</v>
      </c>
      <c r="B237" s="1" t="s">
        <v>1360</v>
      </c>
      <c r="C237" s="1" t="s">
        <v>480</v>
      </c>
      <c r="D237" s="1" t="s">
        <v>1780</v>
      </c>
      <c r="E237" s="1" t="s">
        <v>1802</v>
      </c>
      <c r="F237" s="1" t="s">
        <v>1803</v>
      </c>
      <c r="G237" s="1" t="s">
        <v>1783</v>
      </c>
      <c r="H237" s="1" t="n">
        <v>1.63</v>
      </c>
      <c r="I237" s="2" t="n">
        <v>399</v>
      </c>
      <c r="J237" s="2" t="n">
        <f aca="false">I237/H237</f>
        <v>244.78527607362</v>
      </c>
      <c r="K237" s="3" t="n">
        <f aca="false">(L237/J237-1)*-1</f>
        <v>0.26874686716792</v>
      </c>
      <c r="L237" s="2" t="n">
        <v>179</v>
      </c>
    </row>
    <row r="238" customFormat="false" ht="14" hidden="false" customHeight="false" outlineLevel="0" collapsed="false">
      <c r="A238" s="1" t="s">
        <v>1779</v>
      </c>
      <c r="B238" s="1" t="s">
        <v>1360</v>
      </c>
      <c r="C238" s="1" t="s">
        <v>480</v>
      </c>
      <c r="D238" s="1" t="s">
        <v>1780</v>
      </c>
      <c r="E238" s="1" t="s">
        <v>1804</v>
      </c>
      <c r="F238" s="1" t="s">
        <v>1805</v>
      </c>
      <c r="G238" s="1" t="s">
        <v>1783</v>
      </c>
      <c r="H238" s="1" t="n">
        <v>1.63</v>
      </c>
      <c r="I238" s="2" t="n">
        <v>399</v>
      </c>
      <c r="J238" s="2" t="n">
        <f aca="false">I238/H238</f>
        <v>244.78527607362</v>
      </c>
      <c r="K238" s="3" t="n">
        <f aca="false">(L238/J238-1)*-1</f>
        <v>0.26874686716792</v>
      </c>
      <c r="L238" s="2" t="n">
        <v>179</v>
      </c>
    </row>
    <row r="239" customFormat="false" ht="14" hidden="false" customHeight="false" outlineLevel="0" collapsed="false">
      <c r="A239" s="1" t="s">
        <v>1779</v>
      </c>
      <c r="B239" s="1" t="s">
        <v>1360</v>
      </c>
      <c r="C239" s="1" t="s">
        <v>480</v>
      </c>
      <c r="D239" s="1" t="s">
        <v>1780</v>
      </c>
      <c r="E239" s="1" t="s">
        <v>1806</v>
      </c>
      <c r="F239" s="1" t="s">
        <v>1807</v>
      </c>
      <c r="G239" s="1" t="s">
        <v>1783</v>
      </c>
      <c r="H239" s="1" t="n">
        <v>1.62</v>
      </c>
      <c r="I239" s="2" t="n">
        <v>429</v>
      </c>
      <c r="J239" s="2" t="n">
        <f aca="false">I239/H239</f>
        <v>264.814814814815</v>
      </c>
      <c r="K239" s="3" t="n">
        <f aca="false">(L239/J239-1)*-1</f>
        <v>0.286293706293706</v>
      </c>
      <c r="L239" s="2" t="n">
        <v>189</v>
      </c>
    </row>
    <row r="240" customFormat="false" ht="14" hidden="false" customHeight="false" outlineLevel="0" collapsed="false">
      <c r="A240" s="1" t="s">
        <v>1779</v>
      </c>
      <c r="B240" s="1" t="s">
        <v>1360</v>
      </c>
      <c r="C240" s="1" t="s">
        <v>480</v>
      </c>
      <c r="D240" s="1" t="s">
        <v>1780</v>
      </c>
      <c r="E240" s="1" t="s">
        <v>1808</v>
      </c>
      <c r="F240" s="1" t="s">
        <v>1809</v>
      </c>
      <c r="G240" s="1" t="s">
        <v>1783</v>
      </c>
      <c r="H240" s="1" t="n">
        <v>1.62</v>
      </c>
      <c r="I240" s="2" t="n">
        <v>429</v>
      </c>
      <c r="J240" s="2" t="n">
        <f aca="false">I240/H240</f>
        <v>264.814814814815</v>
      </c>
      <c r="K240" s="3" t="n">
        <f aca="false">(L240/J240-1)*-1</f>
        <v>0.286293706293706</v>
      </c>
      <c r="L240" s="2" t="n">
        <v>189</v>
      </c>
    </row>
    <row r="241" customFormat="false" ht="14" hidden="false" customHeight="false" outlineLevel="0" collapsed="false">
      <c r="A241" s="1" t="s">
        <v>1779</v>
      </c>
      <c r="B241" s="1" t="s">
        <v>1360</v>
      </c>
      <c r="C241" s="1" t="s">
        <v>480</v>
      </c>
      <c r="D241" s="1" t="s">
        <v>1780</v>
      </c>
      <c r="E241" s="1" t="s">
        <v>1810</v>
      </c>
      <c r="F241" s="1" t="s">
        <v>1811</v>
      </c>
      <c r="G241" s="1" t="s">
        <v>1783</v>
      </c>
      <c r="H241" s="1" t="n">
        <v>1.62</v>
      </c>
      <c r="I241" s="2" t="n">
        <v>429</v>
      </c>
      <c r="J241" s="2" t="n">
        <f aca="false">I241/H241</f>
        <v>264.814814814815</v>
      </c>
      <c r="K241" s="3" t="n">
        <f aca="false">(L241/J241-1)*-1</f>
        <v>0.286293706293706</v>
      </c>
      <c r="L241" s="2" t="n">
        <v>189</v>
      </c>
    </row>
    <row r="242" customFormat="false" ht="14" hidden="false" customHeight="false" outlineLevel="0" collapsed="false">
      <c r="A242" s="1" t="s">
        <v>1779</v>
      </c>
      <c r="B242" s="1" t="s">
        <v>1360</v>
      </c>
      <c r="C242" s="1" t="s">
        <v>480</v>
      </c>
      <c r="D242" s="1" t="s">
        <v>1780</v>
      </c>
      <c r="E242" s="1" t="s">
        <v>1812</v>
      </c>
      <c r="F242" s="1" t="s">
        <v>1813</v>
      </c>
      <c r="G242" s="1" t="s">
        <v>1783</v>
      </c>
      <c r="H242" s="1" t="n">
        <v>1.62</v>
      </c>
      <c r="I242" s="2" t="n">
        <v>429</v>
      </c>
      <c r="J242" s="2" t="n">
        <f aca="false">I242/H242</f>
        <v>264.814814814815</v>
      </c>
      <c r="K242" s="3" t="n">
        <f aca="false">(L242/J242-1)*-1</f>
        <v>0.286293706293706</v>
      </c>
      <c r="L242" s="2" t="n">
        <v>189</v>
      </c>
    </row>
    <row r="243" customFormat="false" ht="14" hidden="false" customHeight="false" outlineLevel="0" collapsed="false">
      <c r="A243" s="1" t="s">
        <v>1779</v>
      </c>
      <c r="B243" s="1" t="s">
        <v>1360</v>
      </c>
      <c r="C243" s="1" t="s">
        <v>480</v>
      </c>
      <c r="D243" s="1" t="s">
        <v>1780</v>
      </c>
      <c r="E243" s="1" t="s">
        <v>1814</v>
      </c>
      <c r="F243" s="1" t="s">
        <v>1815</v>
      </c>
      <c r="G243" s="1" t="s">
        <v>1783</v>
      </c>
      <c r="H243" s="1" t="n">
        <v>1.44</v>
      </c>
      <c r="I243" s="2" t="n">
        <v>429</v>
      </c>
      <c r="J243" s="2" t="n">
        <f aca="false">I243/H243</f>
        <v>297.916666666667</v>
      </c>
      <c r="K243" s="3" t="n">
        <f aca="false">(L243/J243-1)*-1</f>
        <v>0.264895104895105</v>
      </c>
      <c r="L243" s="2" t="n">
        <v>219</v>
      </c>
    </row>
    <row r="244" customFormat="false" ht="14" hidden="false" customHeight="false" outlineLevel="0" collapsed="false">
      <c r="A244" s="1" t="s">
        <v>1779</v>
      </c>
      <c r="B244" s="1" t="s">
        <v>1360</v>
      </c>
      <c r="C244" s="1" t="s">
        <v>480</v>
      </c>
      <c r="D244" s="1" t="s">
        <v>1780</v>
      </c>
      <c r="E244" s="1" t="s">
        <v>1816</v>
      </c>
      <c r="F244" s="1" t="s">
        <v>1817</v>
      </c>
      <c r="G244" s="1" t="s">
        <v>1783</v>
      </c>
      <c r="H244" s="1" t="n">
        <v>1.44</v>
      </c>
      <c r="I244" s="2" t="n">
        <v>429</v>
      </c>
      <c r="J244" s="2" t="n">
        <f aca="false">I244/H244</f>
        <v>297.916666666667</v>
      </c>
      <c r="K244" s="3" t="n">
        <f aca="false">(L244/J244-1)*-1</f>
        <v>0.264895104895105</v>
      </c>
      <c r="L244" s="2" t="n">
        <v>219</v>
      </c>
    </row>
    <row r="245" customFormat="false" ht="14" hidden="false" customHeight="false" outlineLevel="0" collapsed="false">
      <c r="A245" s="1" t="s">
        <v>1779</v>
      </c>
      <c r="B245" s="1" t="s">
        <v>1360</v>
      </c>
      <c r="C245" s="1" t="s">
        <v>480</v>
      </c>
      <c r="D245" s="1" t="s">
        <v>1780</v>
      </c>
      <c r="E245" s="1" t="s">
        <v>1818</v>
      </c>
      <c r="F245" s="1" t="s">
        <v>1819</v>
      </c>
      <c r="G245" s="1" t="s">
        <v>1783</v>
      </c>
      <c r="H245" s="1" t="n">
        <v>1.44</v>
      </c>
      <c r="I245" s="2" t="n">
        <v>429</v>
      </c>
      <c r="J245" s="2" t="n">
        <f aca="false">I245/H245</f>
        <v>297.916666666667</v>
      </c>
      <c r="K245" s="3" t="n">
        <f aca="false">(L245/J245-1)*-1</f>
        <v>0.264895104895105</v>
      </c>
      <c r="L245" s="2" t="n">
        <v>219</v>
      </c>
    </row>
    <row r="246" customFormat="false" ht="14" hidden="false" customHeight="false" outlineLevel="0" collapsed="false">
      <c r="A246" s="1" t="s">
        <v>1779</v>
      </c>
      <c r="B246" s="1" t="s">
        <v>1360</v>
      </c>
      <c r="C246" s="1" t="s">
        <v>480</v>
      </c>
      <c r="D246" s="1" t="s">
        <v>1780</v>
      </c>
      <c r="E246" s="1" t="s">
        <v>1820</v>
      </c>
      <c r="F246" s="1" t="s">
        <v>1821</v>
      </c>
      <c r="G246" s="1" t="s">
        <v>1783</v>
      </c>
      <c r="H246" s="1" t="n">
        <v>1.44</v>
      </c>
      <c r="I246" s="2" t="n">
        <v>429</v>
      </c>
      <c r="J246" s="2" t="n">
        <f aca="false">I246/H246</f>
        <v>297.916666666667</v>
      </c>
      <c r="K246" s="3" t="n">
        <f aca="false">(L246/J246-1)*-1</f>
        <v>0.264895104895105</v>
      </c>
      <c r="L246" s="2" t="n">
        <v>219</v>
      </c>
    </row>
    <row r="247" customFormat="false" ht="14" hidden="false" customHeight="false" outlineLevel="0" collapsed="false">
      <c r="A247" s="1" t="s">
        <v>1779</v>
      </c>
      <c r="B247" s="1" t="s">
        <v>1360</v>
      </c>
      <c r="C247" s="1" t="s">
        <v>480</v>
      </c>
      <c r="D247" s="1" t="s">
        <v>1780</v>
      </c>
      <c r="E247" s="1" t="s">
        <v>1822</v>
      </c>
      <c r="F247" s="1" t="s">
        <v>1823</v>
      </c>
      <c r="G247" s="1" t="s">
        <v>1783</v>
      </c>
      <c r="H247" s="1" t="n">
        <v>1.44</v>
      </c>
      <c r="I247" s="2" t="n">
        <v>429</v>
      </c>
      <c r="J247" s="2" t="n">
        <f aca="false">I247/H247</f>
        <v>297.916666666667</v>
      </c>
      <c r="K247" s="3" t="n">
        <f aca="false">(L247/J247-1)*-1</f>
        <v>0.231328671328671</v>
      </c>
      <c r="L247" s="2" t="n">
        <v>229</v>
      </c>
    </row>
    <row r="248" customFormat="false" ht="14" hidden="false" customHeight="false" outlineLevel="0" collapsed="false">
      <c r="A248" s="1" t="s">
        <v>1779</v>
      </c>
      <c r="B248" s="1" t="s">
        <v>1360</v>
      </c>
      <c r="C248" s="1" t="s">
        <v>480</v>
      </c>
      <c r="D248" s="1" t="s">
        <v>1780</v>
      </c>
      <c r="E248" s="1" t="s">
        <v>1824</v>
      </c>
      <c r="F248" s="1" t="s">
        <v>1825</v>
      </c>
      <c r="G248" s="1" t="s">
        <v>1783</v>
      </c>
      <c r="H248" s="1" t="n">
        <v>1.44</v>
      </c>
      <c r="I248" s="2" t="n">
        <v>429</v>
      </c>
      <c r="J248" s="2" t="n">
        <f aca="false">I248/H248</f>
        <v>297.916666666667</v>
      </c>
      <c r="K248" s="3" t="n">
        <f aca="false">(L248/J248-1)*-1</f>
        <v>0.231328671328671</v>
      </c>
      <c r="L248" s="2" t="n">
        <v>229</v>
      </c>
    </row>
    <row r="249" customFormat="false" ht="14" hidden="false" customHeight="false" outlineLevel="0" collapsed="false">
      <c r="A249" s="1" t="s">
        <v>1779</v>
      </c>
      <c r="B249" s="1" t="s">
        <v>1360</v>
      </c>
      <c r="C249" s="1" t="s">
        <v>480</v>
      </c>
      <c r="D249" s="1" t="s">
        <v>1780</v>
      </c>
      <c r="E249" s="1" t="s">
        <v>1826</v>
      </c>
      <c r="F249" s="1" t="s">
        <v>1827</v>
      </c>
      <c r="G249" s="1" t="s">
        <v>1783</v>
      </c>
      <c r="H249" s="1" t="n">
        <v>1.62</v>
      </c>
      <c r="I249" s="2" t="n">
        <v>429</v>
      </c>
      <c r="J249" s="2" t="n">
        <f aca="false">I249/H249</f>
        <v>264.814814814815</v>
      </c>
      <c r="K249" s="3" t="n">
        <f aca="false">(L249/J249-1)*-1</f>
        <v>0.286293706293706</v>
      </c>
      <c r="L249" s="2" t="n">
        <v>189</v>
      </c>
    </row>
    <row r="250" customFormat="false" ht="14" hidden="false" customHeight="false" outlineLevel="0" collapsed="false">
      <c r="A250" s="1" t="s">
        <v>1779</v>
      </c>
      <c r="B250" s="1" t="s">
        <v>1360</v>
      </c>
      <c r="C250" s="1" t="s">
        <v>480</v>
      </c>
      <c r="D250" s="1" t="s">
        <v>1780</v>
      </c>
      <c r="E250" s="1" t="s">
        <v>1828</v>
      </c>
      <c r="F250" s="1" t="s">
        <v>1829</v>
      </c>
      <c r="G250" s="1" t="s">
        <v>1783</v>
      </c>
      <c r="H250" s="1" t="n">
        <v>1.62</v>
      </c>
      <c r="I250" s="2" t="n">
        <v>429</v>
      </c>
      <c r="J250" s="2" t="n">
        <f aca="false">I250/H250</f>
        <v>264.814814814815</v>
      </c>
      <c r="K250" s="3" t="n">
        <f aca="false">(L250/J250-1)*-1</f>
        <v>0.286293706293706</v>
      </c>
      <c r="L250" s="2" t="n">
        <v>189</v>
      </c>
    </row>
    <row r="251" customFormat="false" ht="14" hidden="false" customHeight="false" outlineLevel="0" collapsed="false">
      <c r="A251" s="1" t="s">
        <v>1779</v>
      </c>
      <c r="B251" s="1" t="s">
        <v>1360</v>
      </c>
      <c r="C251" s="1" t="s">
        <v>480</v>
      </c>
      <c r="D251" s="1" t="s">
        <v>1780</v>
      </c>
      <c r="E251" s="1" t="s">
        <v>1830</v>
      </c>
      <c r="F251" s="1" t="s">
        <v>1831</v>
      </c>
      <c r="G251" s="1" t="s">
        <v>1783</v>
      </c>
      <c r="H251" s="1" t="n">
        <v>1.62</v>
      </c>
      <c r="I251" s="2" t="n">
        <v>429</v>
      </c>
      <c r="J251" s="2" t="n">
        <f aca="false">I251/H251</f>
        <v>264.814814814815</v>
      </c>
      <c r="K251" s="3" t="n">
        <f aca="false">(L251/J251-1)*-1</f>
        <v>0.286293706293706</v>
      </c>
      <c r="L251" s="2" t="n">
        <v>189</v>
      </c>
    </row>
    <row r="252" customFormat="false" ht="14" hidden="false" customHeight="false" outlineLevel="0" collapsed="false">
      <c r="A252" s="1" t="s">
        <v>1779</v>
      </c>
      <c r="B252" s="1" t="s">
        <v>1360</v>
      </c>
      <c r="C252" s="1" t="s">
        <v>480</v>
      </c>
      <c r="D252" s="1" t="s">
        <v>1780</v>
      </c>
      <c r="E252" s="1" t="s">
        <v>1832</v>
      </c>
      <c r="F252" s="1" t="s">
        <v>1833</v>
      </c>
      <c r="G252" s="1" t="s">
        <v>1783</v>
      </c>
      <c r="H252" s="1" t="n">
        <v>1.62</v>
      </c>
      <c r="I252" s="2" t="n">
        <v>429</v>
      </c>
      <c r="J252" s="2" t="n">
        <f aca="false">I252/H252</f>
        <v>264.814814814815</v>
      </c>
      <c r="K252" s="3" t="n">
        <f aca="false">(L252/J252-1)*-1</f>
        <v>0.286293706293706</v>
      </c>
      <c r="L252" s="2" t="n">
        <v>189</v>
      </c>
    </row>
    <row r="253" customFormat="false" ht="14" hidden="false" customHeight="false" outlineLevel="0" collapsed="false">
      <c r="A253" s="1" t="s">
        <v>1779</v>
      </c>
      <c r="B253" s="1" t="s">
        <v>1360</v>
      </c>
      <c r="C253" s="1" t="s">
        <v>480</v>
      </c>
      <c r="D253" s="1" t="s">
        <v>1780</v>
      </c>
      <c r="E253" s="1" t="s">
        <v>1834</v>
      </c>
      <c r="F253" s="1" t="s">
        <v>1835</v>
      </c>
      <c r="G253" s="1" t="s">
        <v>1783</v>
      </c>
      <c r="H253" s="1" t="n">
        <v>1.44</v>
      </c>
      <c r="I253" s="2" t="n">
        <v>281</v>
      </c>
      <c r="J253" s="2" t="n">
        <f aca="false">I253/H253</f>
        <v>195.138888888889</v>
      </c>
      <c r="K253" s="3" t="n">
        <f aca="false">(L253/J253-1)*-1</f>
        <v>0.000711743772241924</v>
      </c>
      <c r="L253" s="2" t="n">
        <v>195</v>
      </c>
    </row>
    <row r="254" customFormat="false" ht="14" hidden="false" customHeight="false" outlineLevel="0" collapsed="false">
      <c r="A254" s="1" t="s">
        <v>1779</v>
      </c>
      <c r="B254" s="1" t="s">
        <v>1360</v>
      </c>
      <c r="C254" s="1" t="s">
        <v>480</v>
      </c>
      <c r="D254" s="1" t="s">
        <v>1780</v>
      </c>
      <c r="E254" s="1" t="s">
        <v>1836</v>
      </c>
      <c r="F254" s="1" t="s">
        <v>1837</v>
      </c>
      <c r="G254" s="1" t="s">
        <v>1783</v>
      </c>
      <c r="H254" s="1" t="n">
        <v>1.44</v>
      </c>
      <c r="I254" s="2" t="n">
        <v>281</v>
      </c>
      <c r="J254" s="2" t="n">
        <f aca="false">I254/H254</f>
        <v>195.138888888889</v>
      </c>
      <c r="K254" s="3" t="n">
        <f aca="false">(L254/J254-1)*-1</f>
        <v>0.000711743772241924</v>
      </c>
      <c r="L254" s="2" t="n">
        <v>195</v>
      </c>
    </row>
    <row r="255" customFormat="false" ht="14" hidden="false" customHeight="false" outlineLevel="0" collapsed="false">
      <c r="A255" s="1" t="s">
        <v>1779</v>
      </c>
      <c r="B255" s="1" t="s">
        <v>1360</v>
      </c>
      <c r="C255" s="1" t="s">
        <v>480</v>
      </c>
      <c r="D255" s="1" t="s">
        <v>1780</v>
      </c>
      <c r="E255" s="1" t="s">
        <v>1838</v>
      </c>
      <c r="F255" s="1" t="s">
        <v>1839</v>
      </c>
      <c r="G255" s="1" t="s">
        <v>1783</v>
      </c>
      <c r="H255" s="1" t="n">
        <v>1.62</v>
      </c>
      <c r="I255" s="2" t="n">
        <v>290</v>
      </c>
      <c r="J255" s="2" t="n">
        <f aca="false">I255/H255</f>
        <v>179.012345679012</v>
      </c>
      <c r="K255" s="3" t="n">
        <f aca="false">(L255/J255-1)*-1</f>
        <v>6.89655172412262E-005</v>
      </c>
      <c r="L255" s="2" t="n">
        <v>179</v>
      </c>
    </row>
    <row r="256" customFormat="false" ht="14" hidden="false" customHeight="false" outlineLevel="0" collapsed="false">
      <c r="A256" s="1" t="s">
        <v>1779</v>
      </c>
      <c r="B256" s="1" t="s">
        <v>1360</v>
      </c>
      <c r="C256" s="1" t="s">
        <v>480</v>
      </c>
      <c r="D256" s="1" t="s">
        <v>1780</v>
      </c>
      <c r="E256" s="1" t="s">
        <v>1840</v>
      </c>
      <c r="F256" s="1" t="s">
        <v>1841</v>
      </c>
      <c r="G256" s="1" t="s">
        <v>1783</v>
      </c>
      <c r="H256" s="1" t="n">
        <v>1.62</v>
      </c>
      <c r="I256" s="2" t="n">
        <v>290</v>
      </c>
      <c r="J256" s="2" t="n">
        <f aca="false">I256/H256</f>
        <v>179.012345679012</v>
      </c>
      <c r="K256" s="3" t="n">
        <f aca="false">(L256/J256-1)*-1</f>
        <v>6.89655172412262E-005</v>
      </c>
      <c r="L256" s="2" t="n">
        <v>179</v>
      </c>
    </row>
    <row r="257" customFormat="false" ht="14" hidden="false" customHeight="false" outlineLevel="0" collapsed="false">
      <c r="A257" s="1" t="s">
        <v>1779</v>
      </c>
      <c r="B257" s="1" t="s">
        <v>1360</v>
      </c>
      <c r="C257" s="1" t="s">
        <v>480</v>
      </c>
      <c r="D257" s="1" t="s">
        <v>1780</v>
      </c>
      <c r="E257" s="1" t="s">
        <v>1842</v>
      </c>
      <c r="F257" s="1" t="s">
        <v>1843</v>
      </c>
      <c r="G257" s="1" t="s">
        <v>1783</v>
      </c>
      <c r="H257" s="1" t="n">
        <v>1.62</v>
      </c>
      <c r="I257" s="2" t="n">
        <v>290</v>
      </c>
      <c r="J257" s="2" t="n">
        <f aca="false">I257/H257</f>
        <v>179.012345679012</v>
      </c>
      <c r="K257" s="3" t="n">
        <f aca="false">(L257/J257-1)*-1</f>
        <v>6.89655172412262E-005</v>
      </c>
      <c r="L257" s="2" t="n">
        <v>179</v>
      </c>
    </row>
    <row r="258" customFormat="false" ht="14" hidden="false" customHeight="false" outlineLevel="0" collapsed="false">
      <c r="A258" s="1" t="s">
        <v>1779</v>
      </c>
      <c r="B258" s="1" t="s">
        <v>1360</v>
      </c>
      <c r="C258" s="1" t="s">
        <v>480</v>
      </c>
      <c r="D258" s="1" t="s">
        <v>1780</v>
      </c>
      <c r="E258" s="1" t="s">
        <v>1844</v>
      </c>
      <c r="F258" s="1" t="s">
        <v>1845</v>
      </c>
      <c r="G258" s="1" t="s">
        <v>1783</v>
      </c>
      <c r="H258" s="1" t="n">
        <v>1.75</v>
      </c>
      <c r="I258" s="2" t="n">
        <v>314</v>
      </c>
      <c r="J258" s="2" t="n">
        <f aca="false">I258/H258</f>
        <v>179.428571428571</v>
      </c>
      <c r="K258" s="3" t="n">
        <f aca="false">(L258/J258-1)*-1</f>
        <v>0.00238853503184711</v>
      </c>
      <c r="L258" s="2" t="n">
        <v>179</v>
      </c>
    </row>
    <row r="259" customFormat="false" ht="14" hidden="false" customHeight="false" outlineLevel="0" collapsed="false">
      <c r="A259" s="1" t="s">
        <v>1779</v>
      </c>
      <c r="B259" s="1" t="s">
        <v>1360</v>
      </c>
      <c r="C259" s="1" t="s">
        <v>480</v>
      </c>
      <c r="D259" s="1" t="s">
        <v>1780</v>
      </c>
      <c r="E259" s="1" t="s">
        <v>1846</v>
      </c>
      <c r="F259" s="1" t="s">
        <v>1847</v>
      </c>
      <c r="G259" s="1" t="s">
        <v>1783</v>
      </c>
      <c r="H259" s="1" t="n">
        <v>1.75</v>
      </c>
      <c r="I259" s="2" t="n">
        <v>314</v>
      </c>
      <c r="J259" s="2" t="n">
        <f aca="false">I259/H259</f>
        <v>179.428571428571</v>
      </c>
      <c r="K259" s="3" t="n">
        <f aca="false">(L259/J259-1)*-1</f>
        <v>0.00238853503184711</v>
      </c>
      <c r="L259" s="2" t="n">
        <v>179</v>
      </c>
    </row>
    <row r="260" customFormat="false" ht="14" hidden="false" customHeight="false" outlineLevel="0" collapsed="false">
      <c r="A260" s="1" t="s">
        <v>1779</v>
      </c>
      <c r="B260" s="1" t="s">
        <v>1360</v>
      </c>
      <c r="C260" s="1" t="s">
        <v>480</v>
      </c>
      <c r="D260" s="1" t="s">
        <v>1780</v>
      </c>
      <c r="E260" s="1" t="s">
        <v>1848</v>
      </c>
      <c r="F260" s="1" t="s">
        <v>1849</v>
      </c>
      <c r="G260" s="1" t="s">
        <v>1783</v>
      </c>
      <c r="H260" s="1" t="n">
        <v>1.42</v>
      </c>
      <c r="I260" s="2" t="n">
        <v>255</v>
      </c>
      <c r="J260" s="2" t="n">
        <f aca="false">I260/H260</f>
        <v>179.577464788732</v>
      </c>
      <c r="K260" s="3" t="n">
        <f aca="false">(L260/J260-1)*-1</f>
        <v>0.00321568627450997</v>
      </c>
      <c r="L260" s="2" t="n">
        <v>179</v>
      </c>
    </row>
    <row r="261" customFormat="false" ht="14" hidden="false" customHeight="false" outlineLevel="0" collapsed="false">
      <c r="A261" s="1" t="s">
        <v>1779</v>
      </c>
      <c r="B261" s="1" t="s">
        <v>1360</v>
      </c>
      <c r="C261" s="1" t="s">
        <v>480</v>
      </c>
      <c r="D261" s="1" t="s">
        <v>1780</v>
      </c>
      <c r="E261" s="1" t="s">
        <v>1850</v>
      </c>
      <c r="F261" s="1" t="s">
        <v>1851</v>
      </c>
      <c r="G261" s="1" t="s">
        <v>1783</v>
      </c>
      <c r="H261" s="1" t="n">
        <v>1.44</v>
      </c>
      <c r="I261" s="2" t="n">
        <v>429</v>
      </c>
      <c r="J261" s="2" t="n">
        <f aca="false">I261/H261</f>
        <v>297.916666666667</v>
      </c>
      <c r="K261" s="3" t="n">
        <f aca="false">(L261/J261-1)*-1</f>
        <v>0.332027972027972</v>
      </c>
      <c r="L261" s="15" t="n">
        <v>199</v>
      </c>
    </row>
    <row r="262" customFormat="false" ht="14" hidden="false" customHeight="false" outlineLevel="0" collapsed="false">
      <c r="A262" s="1" t="s">
        <v>1779</v>
      </c>
      <c r="B262" s="1" t="s">
        <v>1360</v>
      </c>
      <c r="C262" s="1" t="s">
        <v>480</v>
      </c>
      <c r="D262" s="1" t="s">
        <v>1780</v>
      </c>
      <c r="E262" s="1" t="s">
        <v>1852</v>
      </c>
      <c r="F262" s="1" t="s">
        <v>1853</v>
      </c>
      <c r="G262" s="1" t="s">
        <v>1783</v>
      </c>
      <c r="H262" s="1" t="n">
        <v>1.44</v>
      </c>
      <c r="I262" s="2" t="n">
        <v>429</v>
      </c>
      <c r="J262" s="2" t="n">
        <f aca="false">I262/H262</f>
        <v>297.916666666667</v>
      </c>
      <c r="K262" s="3" t="n">
        <f aca="false">(L262/J262-1)*-1</f>
        <v>0.332027972027972</v>
      </c>
      <c r="L262" s="15" t="n">
        <v>199</v>
      </c>
    </row>
    <row r="263" customFormat="false" ht="16.4" hidden="false" customHeight="false" outlineLevel="0" collapsed="false">
      <c r="A263" s="13" t="s">
        <v>92</v>
      </c>
      <c r="B263" s="1" t="s">
        <v>1854</v>
      </c>
      <c r="C263" s="13" t="s">
        <v>480</v>
      </c>
      <c r="D263" s="13" t="s">
        <v>481</v>
      </c>
      <c r="E263" s="13" t="s">
        <v>1855</v>
      </c>
      <c r="F263" s="13" t="s">
        <v>1856</v>
      </c>
      <c r="G263" s="13" t="s">
        <v>24</v>
      </c>
      <c r="H263" s="1" t="n">
        <v>1.8</v>
      </c>
      <c r="I263" s="34" t="n">
        <v>409</v>
      </c>
      <c r="J263" s="2" t="n">
        <f aca="false">I263/H263</f>
        <v>227.222222222222</v>
      </c>
      <c r="K263" s="3" t="n">
        <f aca="false">(L263/J263-1)*-1</f>
        <v>0.185819070904645</v>
      </c>
      <c r="L263" s="15" t="n">
        <v>185</v>
      </c>
    </row>
    <row r="264" customFormat="false" ht="16.4" hidden="false" customHeight="false" outlineLevel="0" collapsed="false">
      <c r="A264" s="13" t="s">
        <v>92</v>
      </c>
      <c r="B264" s="1" t="s">
        <v>1854</v>
      </c>
      <c r="C264" s="13" t="s">
        <v>480</v>
      </c>
      <c r="D264" s="13" t="s">
        <v>481</v>
      </c>
      <c r="E264" s="13" t="s">
        <v>1857</v>
      </c>
      <c r="F264" s="13" t="s">
        <v>1858</v>
      </c>
      <c r="G264" s="13" t="s">
        <v>24</v>
      </c>
      <c r="H264" s="1" t="n">
        <v>1.8</v>
      </c>
      <c r="I264" s="34" t="n">
        <v>409</v>
      </c>
      <c r="J264" s="2" t="n">
        <f aca="false">I264/H264</f>
        <v>227.222222222222</v>
      </c>
      <c r="K264" s="3" t="n">
        <f aca="false">(L264/J264-1)*-1</f>
        <v>0.185819070904645</v>
      </c>
      <c r="L264" s="15" t="n">
        <v>185</v>
      </c>
    </row>
    <row r="265" customFormat="false" ht="16.4" hidden="false" customHeight="false" outlineLevel="0" collapsed="false">
      <c r="A265" s="13" t="s">
        <v>92</v>
      </c>
      <c r="B265" s="1" t="s">
        <v>1360</v>
      </c>
      <c r="C265" s="13" t="s">
        <v>480</v>
      </c>
      <c r="D265" s="13" t="s">
        <v>481</v>
      </c>
      <c r="E265" s="13" t="s">
        <v>1859</v>
      </c>
      <c r="F265" s="13" t="s">
        <v>1860</v>
      </c>
      <c r="G265" s="1" t="s">
        <v>24</v>
      </c>
      <c r="H265" s="1" t="n">
        <v>1.76</v>
      </c>
      <c r="I265" s="2" t="n">
        <v>629</v>
      </c>
      <c r="J265" s="2" t="n">
        <f aca="false">I265/H265</f>
        <v>357.386363636364</v>
      </c>
      <c r="K265" s="3" t="n">
        <f aca="false">(L265/J265-1)*-1</f>
        <v>0.303275039745628</v>
      </c>
      <c r="L265" s="15" t="n">
        <v>249</v>
      </c>
    </row>
    <row r="266" customFormat="false" ht="16.4" hidden="false" customHeight="false" outlineLevel="0" collapsed="false">
      <c r="A266" s="1" t="s">
        <v>369</v>
      </c>
      <c r="B266" s="1" t="s">
        <v>1360</v>
      </c>
      <c r="C266" s="13" t="s">
        <v>480</v>
      </c>
      <c r="D266" s="1" t="s">
        <v>370</v>
      </c>
      <c r="E266" s="1" t="s">
        <v>1861</v>
      </c>
      <c r="F266" s="1" t="s">
        <v>1862</v>
      </c>
      <c r="G266" s="1" t="s">
        <v>24</v>
      </c>
      <c r="H266" s="1" t="n">
        <v>1.92</v>
      </c>
      <c r="I266" s="2" t="n">
        <v>1099</v>
      </c>
      <c r="J266" s="2" t="n">
        <f aca="false">I266/H266</f>
        <v>572.395833333333</v>
      </c>
      <c r="K266" s="3" t="n">
        <f aca="false">(L266/J266-1)*-1</f>
        <v>0.320400363967243</v>
      </c>
      <c r="L266" s="15" t="n">
        <v>389</v>
      </c>
    </row>
    <row r="267" customFormat="false" ht="14" hidden="false" customHeight="false" outlineLevel="0" collapsed="false">
      <c r="A267" s="11" t="s">
        <v>1282</v>
      </c>
      <c r="B267" s="1" t="s">
        <v>1360</v>
      </c>
      <c r="C267" s="11" t="s">
        <v>1289</v>
      </c>
      <c r="D267" s="11" t="s">
        <v>1290</v>
      </c>
      <c r="E267" s="11" t="s">
        <v>1863</v>
      </c>
      <c r="F267" s="11" t="s">
        <v>1864</v>
      </c>
      <c r="G267" s="11" t="s">
        <v>1286</v>
      </c>
      <c r="H267" s="11" t="n">
        <v>1</v>
      </c>
      <c r="I267" s="22" t="n">
        <v>8859</v>
      </c>
      <c r="J267" s="22" t="n">
        <f aca="false">I267/H267</f>
        <v>8859</v>
      </c>
      <c r="K267" s="3" t="n">
        <f aca="false">(L267/J267-1)*-1</f>
        <v>0.221243932723784</v>
      </c>
      <c r="L267" s="22" t="n">
        <v>6899</v>
      </c>
      <c r="M267" s="11" t="s">
        <v>1865</v>
      </c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</row>
    <row r="268" customFormat="false" ht="14" hidden="false" customHeight="false" outlineLevel="0" collapsed="false">
      <c r="A268" s="11" t="s">
        <v>1282</v>
      </c>
      <c r="B268" s="1" t="s">
        <v>1360</v>
      </c>
      <c r="C268" s="11" t="s">
        <v>1289</v>
      </c>
      <c r="D268" s="11" t="s">
        <v>1290</v>
      </c>
      <c r="E268" s="11" t="s">
        <v>1866</v>
      </c>
      <c r="F268" s="11" t="s">
        <v>1867</v>
      </c>
      <c r="G268" s="11" t="s">
        <v>1286</v>
      </c>
      <c r="H268" s="11" t="n">
        <v>1</v>
      </c>
      <c r="I268" s="22" t="n">
        <v>7299</v>
      </c>
      <c r="J268" s="22" t="n">
        <f aca="false">I268/H268</f>
        <v>7299</v>
      </c>
      <c r="K268" s="3" t="n">
        <f aca="false">(L268/J268-1)*-1</f>
        <v>0.506918755993972</v>
      </c>
      <c r="L268" s="22" t="n">
        <v>3599</v>
      </c>
      <c r="M268" s="11" t="s">
        <v>1868</v>
      </c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</row>
    <row r="269" s="11" customFormat="true" ht="14" hidden="false" customHeight="false" outlineLevel="0" collapsed="false">
      <c r="A269" s="1" t="s">
        <v>1323</v>
      </c>
      <c r="B269" s="1" t="s">
        <v>1360</v>
      </c>
      <c r="C269" s="1" t="s">
        <v>1324</v>
      </c>
      <c r="D269" s="1" t="s">
        <v>1325</v>
      </c>
      <c r="E269" s="11" t="s">
        <v>1869</v>
      </c>
      <c r="F269" s="11" t="s">
        <v>1870</v>
      </c>
      <c r="G269" s="1" t="s">
        <v>939</v>
      </c>
      <c r="H269" s="11" t="n">
        <v>1</v>
      </c>
      <c r="I269" s="22" t="n">
        <v>2950</v>
      </c>
      <c r="J269" s="22" t="n">
        <f aca="false">I269/H269</f>
        <v>2950</v>
      </c>
      <c r="K269" s="3" t="n">
        <f aca="false">(L269/J269-1)*-1</f>
        <v>0.254576271186441</v>
      </c>
      <c r="L269" s="22" t="n">
        <v>2199</v>
      </c>
      <c r="M269" s="11" t="s">
        <v>1865</v>
      </c>
    </row>
    <row r="270" s="11" customFormat="true" ht="14" hidden="false" customHeight="false" outlineLevel="0" collapsed="false">
      <c r="A270" s="1" t="s">
        <v>1323</v>
      </c>
      <c r="B270" s="1" t="s">
        <v>1360</v>
      </c>
      <c r="C270" s="1" t="s">
        <v>1324</v>
      </c>
      <c r="D270" s="1" t="s">
        <v>1325</v>
      </c>
      <c r="E270" s="11" t="s">
        <v>1871</v>
      </c>
      <c r="F270" s="11" t="s">
        <v>1872</v>
      </c>
      <c r="G270" s="1" t="s">
        <v>939</v>
      </c>
      <c r="H270" s="11" t="n">
        <v>1</v>
      </c>
      <c r="I270" s="22" t="n">
        <v>3600</v>
      </c>
      <c r="J270" s="22" t="n">
        <f aca="false">I270/H270</f>
        <v>3600</v>
      </c>
      <c r="K270" s="3" t="n">
        <f aca="false">(L270/J270-1)*-1</f>
        <v>0.444722222222222</v>
      </c>
      <c r="L270" s="22" t="n">
        <v>1999</v>
      </c>
      <c r="M270" s="11" t="s">
        <v>1868</v>
      </c>
    </row>
    <row r="271" s="11" customFormat="true" ht="14" hidden="false" customHeight="false" outlineLevel="0" collapsed="false">
      <c r="A271" s="1" t="s">
        <v>1323</v>
      </c>
      <c r="B271" s="1" t="s">
        <v>1360</v>
      </c>
      <c r="C271" s="1" t="s">
        <v>1324</v>
      </c>
      <c r="D271" s="1" t="s">
        <v>1325</v>
      </c>
      <c r="E271" s="11" t="s">
        <v>1873</v>
      </c>
      <c r="F271" s="11" t="s">
        <v>1874</v>
      </c>
      <c r="G271" s="1" t="s">
        <v>939</v>
      </c>
      <c r="H271" s="11" t="n">
        <v>1</v>
      </c>
      <c r="I271" s="22" t="n">
        <v>2600</v>
      </c>
      <c r="J271" s="22" t="n">
        <f aca="false">I271/H271</f>
        <v>2600</v>
      </c>
      <c r="K271" s="3" t="n">
        <f aca="false">(L271/J271-1)*-1</f>
        <v>0.154230769230769</v>
      </c>
      <c r="L271" s="22" t="n">
        <v>2199</v>
      </c>
      <c r="M271" s="11" t="s">
        <v>1865</v>
      </c>
    </row>
    <row r="272" s="11" customFormat="true" ht="14" hidden="false" customHeight="false" outlineLevel="0" collapsed="false">
      <c r="A272" s="1" t="s">
        <v>1323</v>
      </c>
      <c r="B272" s="1" t="s">
        <v>1360</v>
      </c>
      <c r="C272" s="1" t="s">
        <v>1324</v>
      </c>
      <c r="D272" s="1" t="s">
        <v>1325</v>
      </c>
      <c r="E272" s="11" t="s">
        <v>1875</v>
      </c>
      <c r="F272" s="11" t="s">
        <v>1876</v>
      </c>
      <c r="G272" s="1" t="s">
        <v>939</v>
      </c>
      <c r="H272" s="11" t="n">
        <v>1</v>
      </c>
      <c r="I272" s="22" t="n">
        <v>2400</v>
      </c>
      <c r="J272" s="22" t="n">
        <f aca="false">I272/H272</f>
        <v>2400</v>
      </c>
      <c r="K272" s="3" t="n">
        <f aca="false">(L272/J272-1)*-1</f>
        <v>0.20875</v>
      </c>
      <c r="L272" s="22" t="n">
        <v>1899</v>
      </c>
      <c r="M272" s="11" t="s">
        <v>1865</v>
      </c>
    </row>
    <row r="273" customFormat="false" ht="14" hidden="false" customHeight="false" outlineLevel="0" collapsed="false">
      <c r="A273" s="1" t="s">
        <v>92</v>
      </c>
      <c r="B273" s="1" t="s">
        <v>1360</v>
      </c>
      <c r="C273" s="1" t="s">
        <v>21</v>
      </c>
      <c r="D273" s="1" t="s">
        <v>93</v>
      </c>
      <c r="E273" s="1" t="s">
        <v>1877</v>
      </c>
      <c r="F273" s="1" t="s">
        <v>1878</v>
      </c>
      <c r="G273" s="1" t="s">
        <v>24</v>
      </c>
      <c r="H273" s="1" t="n">
        <v>1.83</v>
      </c>
      <c r="I273" s="2" t="n">
        <v>629</v>
      </c>
      <c r="J273" s="2" t="n">
        <f aca="false">I273/H273</f>
        <v>343.715846994536</v>
      </c>
      <c r="K273" s="3" t="n">
        <f aca="false">(L273/J273-1)*-1</f>
        <v>0.304658187599364</v>
      </c>
      <c r="L273" s="2" t="n">
        <v>239</v>
      </c>
      <c r="M273" s="2"/>
    </row>
    <row r="274" s="11" customFormat="true" ht="14" hidden="false" customHeight="true" outlineLevel="0" collapsed="false">
      <c r="A274" s="1" t="s">
        <v>1879</v>
      </c>
      <c r="B274" s="1" t="s">
        <v>1360</v>
      </c>
      <c r="C274" s="1" t="s">
        <v>1880</v>
      </c>
      <c r="D274" s="1" t="s">
        <v>1881</v>
      </c>
      <c r="E274" s="35" t="n">
        <v>50204030011</v>
      </c>
      <c r="F274" s="11" t="s">
        <v>1882</v>
      </c>
      <c r="G274" s="1" t="s">
        <v>939</v>
      </c>
      <c r="H274" s="11" t="n">
        <v>1</v>
      </c>
      <c r="I274" s="22" t="n">
        <v>3170.51</v>
      </c>
      <c r="J274" s="15" t="n">
        <f aca="false">I274/H274</f>
        <v>3170.51</v>
      </c>
      <c r="K274" s="3" t="n">
        <f aca="false">(L274/J274-1)*-1</f>
        <v>0.180258065737058</v>
      </c>
      <c r="L274" s="15" t="n">
        <v>2599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="11" customFormat="true" ht="14" hidden="false" customHeight="true" outlineLevel="0" collapsed="false">
      <c r="A275" s="1" t="s">
        <v>1879</v>
      </c>
      <c r="B275" s="1" t="s">
        <v>1360</v>
      </c>
      <c r="C275" s="1" t="s">
        <v>1880</v>
      </c>
      <c r="D275" s="1" t="s">
        <v>1881</v>
      </c>
      <c r="E275" s="35" t="n">
        <v>50204030071</v>
      </c>
      <c r="F275" s="11" t="s">
        <v>1883</v>
      </c>
      <c r="G275" s="1" t="s">
        <v>939</v>
      </c>
      <c r="H275" s="11" t="n">
        <v>1</v>
      </c>
      <c r="I275" s="22" t="n">
        <v>4441.31</v>
      </c>
      <c r="J275" s="15" t="n">
        <f aca="false">I275/H275</f>
        <v>4441.31</v>
      </c>
      <c r="K275" s="3" t="n">
        <f aca="false">(L275/J275-1)*-1</f>
        <v>0.257201141104764</v>
      </c>
      <c r="L275" s="15" t="n">
        <v>3299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="11" customFormat="true" ht="14" hidden="false" customHeight="true" outlineLevel="0" collapsed="false">
      <c r="A276" s="1" t="s">
        <v>1879</v>
      </c>
      <c r="B276" s="1" t="s">
        <v>1360</v>
      </c>
      <c r="C276" s="1" t="s">
        <v>1880</v>
      </c>
      <c r="D276" s="1" t="s">
        <v>1881</v>
      </c>
      <c r="E276" s="35" t="n">
        <v>50302070050</v>
      </c>
      <c r="F276" s="11" t="s">
        <v>1884</v>
      </c>
      <c r="G276" s="1" t="s">
        <v>939</v>
      </c>
      <c r="H276" s="11" t="n">
        <v>1</v>
      </c>
      <c r="I276" s="22" t="n">
        <v>5539</v>
      </c>
      <c r="J276" s="15" t="n">
        <f aca="false">I276/H276</f>
        <v>5539</v>
      </c>
      <c r="K276" s="3" t="n">
        <f aca="false">(L276/J276-1)*-1</f>
        <v>0.440512727929229</v>
      </c>
      <c r="L276" s="15" t="n">
        <v>3099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="11" customFormat="true" ht="14" hidden="false" customHeight="true" outlineLevel="0" collapsed="false">
      <c r="A277" s="1" t="s">
        <v>1879</v>
      </c>
      <c r="B277" s="1" t="s">
        <v>1360</v>
      </c>
      <c r="C277" s="1" t="s">
        <v>1880</v>
      </c>
      <c r="D277" s="1" t="s">
        <v>1881</v>
      </c>
      <c r="E277" s="35" t="n">
        <v>50304020091</v>
      </c>
      <c r="F277" s="11" t="s">
        <v>1885</v>
      </c>
      <c r="G277" s="1" t="s">
        <v>939</v>
      </c>
      <c r="H277" s="11" t="n">
        <v>1</v>
      </c>
      <c r="I277" s="22" t="n">
        <v>1763.23</v>
      </c>
      <c r="J277" s="15" t="n">
        <f aca="false">I277/H277</f>
        <v>1763.23</v>
      </c>
      <c r="K277" s="3" t="n">
        <f aca="false">(L277/J277-1)*-1</f>
        <v>0.319997958292452</v>
      </c>
      <c r="L277" s="15" t="n">
        <v>1199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="11" customFormat="true" ht="14" hidden="false" customHeight="true" outlineLevel="0" collapsed="false">
      <c r="A278" s="1" t="s">
        <v>1879</v>
      </c>
      <c r="B278" s="1" t="s">
        <v>1360</v>
      </c>
      <c r="C278" s="1" t="s">
        <v>1880</v>
      </c>
      <c r="D278" s="1" t="s">
        <v>1881</v>
      </c>
      <c r="E278" s="35" t="n">
        <v>50402070031</v>
      </c>
      <c r="F278" s="11" t="s">
        <v>1886</v>
      </c>
      <c r="G278" s="1" t="s">
        <v>939</v>
      </c>
      <c r="H278" s="11" t="n">
        <v>1</v>
      </c>
      <c r="I278" s="22" t="n">
        <v>5514</v>
      </c>
      <c r="J278" s="15" t="n">
        <f aca="false">I278/H278</f>
        <v>5514</v>
      </c>
      <c r="K278" s="3" t="n">
        <f aca="false">(L278/J278-1)*-1</f>
        <v>0.474247370330069</v>
      </c>
      <c r="L278" s="15" t="n">
        <v>2899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customFormat="false" ht="14" hidden="false" customHeight="true" outlineLevel="0" collapsed="false">
      <c r="A279" s="1" t="s">
        <v>369</v>
      </c>
      <c r="B279" s="1" t="s">
        <v>1360</v>
      </c>
      <c r="C279" s="13" t="s">
        <v>480</v>
      </c>
      <c r="D279" s="1" t="s">
        <v>370</v>
      </c>
      <c r="E279" s="11" t="s">
        <v>1887</v>
      </c>
      <c r="F279" s="11" t="s">
        <v>1888</v>
      </c>
      <c r="G279" s="1" t="s">
        <v>24</v>
      </c>
      <c r="H279" s="1" t="n">
        <v>1.44</v>
      </c>
      <c r="I279" s="2" t="n">
        <v>926</v>
      </c>
      <c r="J279" s="15" t="n">
        <f aca="false">I279/H279</f>
        <v>643.055555555556</v>
      </c>
      <c r="K279" s="3" t="n">
        <f aca="false">(L279/J279-1)*-1</f>
        <v>0.472829373650108</v>
      </c>
      <c r="L279" s="15" t="n">
        <v>339</v>
      </c>
    </row>
    <row r="280" customFormat="false" ht="14" hidden="false" customHeight="true" outlineLevel="0" collapsed="false">
      <c r="A280" s="11" t="s">
        <v>1282</v>
      </c>
      <c r="B280" s="1" t="s">
        <v>1360</v>
      </c>
      <c r="C280" s="11" t="s">
        <v>1289</v>
      </c>
      <c r="D280" s="11" t="s">
        <v>1290</v>
      </c>
      <c r="E280" s="9" t="s">
        <v>1866</v>
      </c>
      <c r="F280" s="1" t="s">
        <v>1867</v>
      </c>
      <c r="G280" s="1" t="s">
        <v>939</v>
      </c>
      <c r="H280" s="11" t="n">
        <v>1</v>
      </c>
      <c r="I280" s="15" t="n">
        <v>7299</v>
      </c>
      <c r="J280" s="15" t="n">
        <f aca="false">I280/H280</f>
        <v>7299</v>
      </c>
      <c r="K280" s="3" t="n">
        <f aca="false">(L280/J280-1)*-1</f>
        <v>0.506918755993972</v>
      </c>
      <c r="L280" s="15" t="n">
        <v>3599</v>
      </c>
      <c r="M280" s="11" t="s">
        <v>1868</v>
      </c>
    </row>
    <row r="281" customFormat="false" ht="14" hidden="false" customHeight="true" outlineLevel="0" collapsed="false">
      <c r="A281" s="11" t="s">
        <v>1282</v>
      </c>
      <c r="B281" s="1" t="s">
        <v>1360</v>
      </c>
      <c r="C281" s="11" t="s">
        <v>1289</v>
      </c>
      <c r="D281" s="11" t="s">
        <v>1290</v>
      </c>
      <c r="E281" s="9" t="s">
        <v>1863</v>
      </c>
      <c r="F281" s="1" t="s">
        <v>1864</v>
      </c>
      <c r="G281" s="1" t="s">
        <v>939</v>
      </c>
      <c r="H281" s="11" t="n">
        <v>1</v>
      </c>
      <c r="I281" s="15" t="n">
        <v>8859</v>
      </c>
      <c r="J281" s="15" t="n">
        <f aca="false">I281/H281</f>
        <v>8859</v>
      </c>
      <c r="K281" s="3" t="n">
        <f aca="false">(L281/J281-1)*-1</f>
        <v>0.221243932723784</v>
      </c>
      <c r="L281" s="15" t="n">
        <v>6899</v>
      </c>
      <c r="M281" s="11" t="s">
        <v>1868</v>
      </c>
    </row>
    <row r="282" customFormat="false" ht="14" hidden="false" customHeight="true" outlineLevel="0" collapsed="false">
      <c r="A282" s="11" t="s">
        <v>1282</v>
      </c>
      <c r="B282" s="1" t="s">
        <v>1360</v>
      </c>
      <c r="C282" s="11" t="s">
        <v>1289</v>
      </c>
      <c r="D282" s="11" t="s">
        <v>1290</v>
      </c>
      <c r="E282" s="11" t="s">
        <v>1553</v>
      </c>
      <c r="F282" s="11" t="s">
        <v>1554</v>
      </c>
      <c r="G282" s="1" t="s">
        <v>939</v>
      </c>
      <c r="H282" s="11" t="n">
        <v>1</v>
      </c>
      <c r="I282" s="15" t="n">
        <v>11799</v>
      </c>
      <c r="J282" s="15" t="n">
        <f aca="false">I282/H282</f>
        <v>11799</v>
      </c>
      <c r="K282" s="3" t="n">
        <f aca="false">(L282/J282-1)*-1</f>
        <v>0.295787778625307</v>
      </c>
      <c r="L282" s="15" t="n">
        <v>8309</v>
      </c>
      <c r="M282" s="11" t="s">
        <v>1868</v>
      </c>
    </row>
    <row r="283" customFormat="false" ht="14" hidden="false" customHeight="true" outlineLevel="0" collapsed="false">
      <c r="A283" s="11" t="s">
        <v>1282</v>
      </c>
      <c r="B283" s="1" t="s">
        <v>1360</v>
      </c>
      <c r="C283" s="11" t="s">
        <v>1289</v>
      </c>
      <c r="D283" s="11" t="s">
        <v>1290</v>
      </c>
      <c r="E283" s="11" t="s">
        <v>1889</v>
      </c>
      <c r="F283" s="11" t="s">
        <v>1890</v>
      </c>
      <c r="G283" s="1" t="s">
        <v>939</v>
      </c>
      <c r="H283" s="11" t="n">
        <v>1</v>
      </c>
      <c r="I283" s="15" t="n">
        <v>10279</v>
      </c>
      <c r="J283" s="15" t="n">
        <f aca="false">I283/H283</f>
        <v>10279</v>
      </c>
      <c r="K283" s="3" t="n">
        <f aca="false">(L283/J283-1)*-1</f>
        <v>0.295748613678373</v>
      </c>
      <c r="L283" s="15" t="n">
        <v>7239</v>
      </c>
      <c r="M283" s="11" t="s">
        <v>1868</v>
      </c>
    </row>
    <row r="284" customFormat="false" ht="14" hidden="false" customHeight="true" outlineLevel="0" collapsed="false">
      <c r="A284" s="11" t="s">
        <v>1282</v>
      </c>
      <c r="B284" s="1" t="s">
        <v>1360</v>
      </c>
      <c r="C284" s="11" t="s">
        <v>1289</v>
      </c>
      <c r="D284" s="11" t="s">
        <v>1290</v>
      </c>
      <c r="E284" s="11" t="s">
        <v>1891</v>
      </c>
      <c r="F284" s="11" t="s">
        <v>1892</v>
      </c>
      <c r="G284" s="1" t="s">
        <v>939</v>
      </c>
      <c r="H284" s="11" t="n">
        <v>1</v>
      </c>
      <c r="I284" s="15" t="n">
        <v>15209</v>
      </c>
      <c r="J284" s="15" t="n">
        <f aca="false">I284/H284</f>
        <v>15209</v>
      </c>
      <c r="K284" s="3" t="n">
        <f aca="false">(L284/J284-1)*-1</f>
        <v>0.401735814320468</v>
      </c>
      <c r="L284" s="15" t="n">
        <v>9099</v>
      </c>
      <c r="M284" s="11" t="s">
        <v>1868</v>
      </c>
    </row>
    <row r="285" customFormat="false" ht="14" hidden="false" customHeight="true" outlineLevel="0" collapsed="false">
      <c r="A285" s="11" t="s">
        <v>1282</v>
      </c>
      <c r="B285" s="1" t="s">
        <v>1360</v>
      </c>
      <c r="C285" s="11" t="s">
        <v>1289</v>
      </c>
      <c r="D285" s="11" t="s">
        <v>1290</v>
      </c>
      <c r="E285" s="11" t="s">
        <v>1893</v>
      </c>
      <c r="F285" s="11" t="s">
        <v>1894</v>
      </c>
      <c r="G285" s="1" t="s">
        <v>939</v>
      </c>
      <c r="H285" s="11" t="n">
        <v>1</v>
      </c>
      <c r="I285" s="15" t="n">
        <v>13599</v>
      </c>
      <c r="J285" s="15" t="n">
        <f aca="false">I285/H285</f>
        <v>13599</v>
      </c>
      <c r="K285" s="3" t="n">
        <f aca="false">(L285/J285-1)*-1</f>
        <v>0.411794984925362</v>
      </c>
      <c r="L285" s="15" t="n">
        <v>7999</v>
      </c>
      <c r="M285" s="11" t="s">
        <v>1868</v>
      </c>
    </row>
    <row r="286" customFormat="false" ht="14" hidden="false" customHeight="true" outlineLevel="0" collapsed="false">
      <c r="A286" s="11" t="s">
        <v>1282</v>
      </c>
      <c r="B286" s="1" t="s">
        <v>1360</v>
      </c>
      <c r="C286" s="11" t="s">
        <v>1289</v>
      </c>
      <c r="D286" s="11" t="s">
        <v>1290</v>
      </c>
      <c r="E286" s="11" t="s">
        <v>1557</v>
      </c>
      <c r="F286" s="11" t="s">
        <v>1558</v>
      </c>
      <c r="G286" s="1" t="s">
        <v>939</v>
      </c>
      <c r="H286" s="11" t="n">
        <v>1</v>
      </c>
      <c r="I286" s="15" t="n">
        <v>7769</v>
      </c>
      <c r="J286" s="15" t="n">
        <f aca="false">I286/H286</f>
        <v>7769</v>
      </c>
      <c r="K286" s="3" t="n">
        <f aca="false">(L286/J286-1)*-1</f>
        <v>0.266443557729438</v>
      </c>
      <c r="L286" s="15" t="n">
        <v>5699</v>
      </c>
      <c r="M286" s="11" t="s">
        <v>1868</v>
      </c>
    </row>
    <row r="287" customFormat="false" ht="14" hidden="false" customHeight="true" outlineLevel="0" collapsed="false">
      <c r="A287" s="11" t="s">
        <v>1282</v>
      </c>
      <c r="B287" s="1" t="s">
        <v>1360</v>
      </c>
      <c r="C287" s="11" t="s">
        <v>1289</v>
      </c>
      <c r="D287" s="11" t="s">
        <v>1290</v>
      </c>
      <c r="E287" s="11" t="s">
        <v>1895</v>
      </c>
      <c r="F287" s="11" t="s">
        <v>1896</v>
      </c>
      <c r="G287" s="1" t="s">
        <v>939</v>
      </c>
      <c r="H287" s="11" t="n">
        <v>1</v>
      </c>
      <c r="I287" s="15" t="n">
        <v>8269</v>
      </c>
      <c r="J287" s="15" t="n">
        <f aca="false">I287/H287</f>
        <v>8269</v>
      </c>
      <c r="K287" s="3" t="n">
        <f aca="false">(L287/J287-1)*-1</f>
        <v>0.250332567420486</v>
      </c>
      <c r="L287" s="15" t="n">
        <v>6199</v>
      </c>
      <c r="M287" s="11" t="s">
        <v>1868</v>
      </c>
    </row>
    <row r="288" s="1" customFormat="true" ht="14" hidden="false" customHeight="false" outlineLevel="0" collapsed="false">
      <c r="A288" s="1" t="s">
        <v>1744</v>
      </c>
      <c r="B288" s="1" t="s">
        <v>1360</v>
      </c>
      <c r="C288" s="1" t="s">
        <v>21</v>
      </c>
      <c r="D288" s="1" t="s">
        <v>22</v>
      </c>
      <c r="E288" s="1" t="n">
        <v>522682254011481</v>
      </c>
      <c r="F288" s="1" t="s">
        <v>1897</v>
      </c>
      <c r="G288" s="1" t="s">
        <v>24</v>
      </c>
      <c r="H288" s="1" t="n">
        <v>1.5</v>
      </c>
      <c r="I288" s="2" t="n">
        <v>509</v>
      </c>
      <c r="J288" s="15" t="n">
        <f aca="false">I288/H288</f>
        <v>339.333333333333</v>
      </c>
      <c r="K288" s="3" t="n">
        <f aca="false">(L288/J288-1)*-1</f>
        <v>0.354616895874263</v>
      </c>
      <c r="L288" s="15" t="n">
        <v>219</v>
      </c>
    </row>
    <row r="289" s="1" customFormat="true" ht="14" hidden="false" customHeight="false" outlineLevel="0" collapsed="false">
      <c r="A289" s="1" t="s">
        <v>1744</v>
      </c>
      <c r="B289" s="1" t="s">
        <v>1360</v>
      </c>
      <c r="C289" s="1" t="s">
        <v>21</v>
      </c>
      <c r="D289" s="1" t="s">
        <v>22</v>
      </c>
      <c r="E289" s="10" t="n">
        <v>522799254028911</v>
      </c>
      <c r="F289" s="1" t="s">
        <v>1898</v>
      </c>
      <c r="G289" s="1" t="s">
        <v>24</v>
      </c>
      <c r="H289" s="1" t="n">
        <v>2</v>
      </c>
      <c r="I289" s="2" t="n">
        <v>719</v>
      </c>
      <c r="J289" s="15" t="n">
        <f aca="false">I289/H289</f>
        <v>359.5</v>
      </c>
      <c r="K289" s="3" t="n">
        <f aca="false">(L289/J289-1)*-1</f>
        <v>0.307371349095967</v>
      </c>
      <c r="L289" s="15" t="n">
        <v>249</v>
      </c>
    </row>
    <row r="290" s="1" customFormat="true" ht="14" hidden="false" customHeight="false" outlineLevel="0" collapsed="false">
      <c r="A290" s="1" t="s">
        <v>1196</v>
      </c>
      <c r="B290" s="1" t="s">
        <v>1360</v>
      </c>
      <c r="C290" s="1" t="s">
        <v>1233</v>
      </c>
      <c r="D290" s="1" t="s">
        <v>1899</v>
      </c>
      <c r="E290" s="1" t="s">
        <v>1900</v>
      </c>
      <c r="F290" s="1" t="s">
        <v>1901</v>
      </c>
      <c r="G290" s="1" t="s">
        <v>1207</v>
      </c>
      <c r="H290" s="1" t="n">
        <v>1</v>
      </c>
      <c r="I290" s="2" t="n">
        <v>11721</v>
      </c>
      <c r="J290" s="15" t="n">
        <f aca="false">I290/H290</f>
        <v>11721</v>
      </c>
      <c r="K290" s="3" t="n">
        <f aca="false">(L290/J290-1)*-1</f>
        <v>0.488183602081734</v>
      </c>
      <c r="L290" s="15" t="n">
        <v>5999</v>
      </c>
    </row>
  </sheetData>
  <mergeCells count="8">
    <mergeCell ref="L198:L201"/>
    <mergeCell ref="L202:L205"/>
    <mergeCell ref="L206:L207"/>
    <mergeCell ref="L208:L211"/>
    <mergeCell ref="L212:L215"/>
    <mergeCell ref="L216:L219"/>
    <mergeCell ref="L220:L223"/>
    <mergeCell ref="L224:L22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7" zeroHeight="false" outlineLevelRow="0" outlineLevelCol="0"/>
  <cols>
    <col collapsed="false" customWidth="true" hidden="false" outlineLevel="0" max="1" min="1" style="11" width="11.52"/>
    <col collapsed="false" customWidth="true" hidden="false" outlineLevel="0" max="3" min="2" style="0" width="10.86"/>
    <col collapsed="false" customWidth="true" hidden="false" outlineLevel="0" max="4" min="4" style="11" width="18.28"/>
    <col collapsed="false" customWidth="true" hidden="false" outlineLevel="0" max="5" min="5" style="11" width="20.66"/>
    <col collapsed="false" customWidth="true" hidden="false" outlineLevel="0" max="6" min="6" style="11" width="60.28"/>
    <col collapsed="false" customWidth="true" hidden="false" outlineLevel="0" max="2048" min="7" style="11" width="11.52"/>
  </cols>
  <sheetData>
    <row r="1" customFormat="false" ht="17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8</v>
      </c>
    </row>
    <row r="2" customFormat="false" ht="17" hidden="false" customHeight="false" outlineLevel="0" collapsed="false">
      <c r="A2" s="1" t="s">
        <v>369</v>
      </c>
      <c r="B2" s="1" t="s">
        <v>20</v>
      </c>
      <c r="C2" s="1" t="s">
        <v>21</v>
      </c>
      <c r="D2" s="1" t="s">
        <v>370</v>
      </c>
      <c r="E2" s="21" t="s">
        <v>436</v>
      </c>
      <c r="F2" s="11" t="s">
        <v>437</v>
      </c>
      <c r="G2" s="11" t="n">
        <v>1.44</v>
      </c>
      <c r="H2" s="11" t="s">
        <v>256</v>
      </c>
    </row>
    <row r="3" customFormat="false" ht="17" hidden="false" customHeight="false" outlineLevel="0" collapsed="false">
      <c r="A3" s="1" t="s">
        <v>369</v>
      </c>
      <c r="B3" s="1" t="s">
        <v>20</v>
      </c>
      <c r="C3" s="1" t="s">
        <v>21</v>
      </c>
      <c r="D3" s="1" t="s">
        <v>370</v>
      </c>
      <c r="E3" s="21" t="s">
        <v>381</v>
      </c>
      <c r="F3" s="11" t="s">
        <v>382</v>
      </c>
      <c r="G3" s="11" t="n">
        <v>1.44</v>
      </c>
      <c r="H3" s="11" t="s">
        <v>256</v>
      </c>
    </row>
    <row r="4" customFormat="false" ht="17" hidden="false" customHeight="false" outlineLevel="0" collapsed="false">
      <c r="A4" s="1" t="s">
        <v>369</v>
      </c>
      <c r="B4" s="1" t="s">
        <v>20</v>
      </c>
      <c r="C4" s="1" t="s">
        <v>21</v>
      </c>
      <c r="D4" s="1" t="s">
        <v>370</v>
      </c>
      <c r="E4" s="21" t="s">
        <v>400</v>
      </c>
      <c r="F4" s="11" t="s">
        <v>1902</v>
      </c>
      <c r="G4" s="11" t="n">
        <v>1.44</v>
      </c>
      <c r="H4" s="11" t="s">
        <v>207</v>
      </c>
    </row>
    <row r="5" customFormat="false" ht="17" hidden="false" customHeight="false" outlineLevel="0" collapsed="false">
      <c r="A5" s="1" t="s">
        <v>369</v>
      </c>
      <c r="B5" s="1" t="s">
        <v>20</v>
      </c>
      <c r="C5" s="1" t="s">
        <v>21</v>
      </c>
      <c r="D5" s="1" t="s">
        <v>370</v>
      </c>
      <c r="E5" s="21" t="s">
        <v>386</v>
      </c>
      <c r="F5" s="11" t="s">
        <v>1903</v>
      </c>
      <c r="G5" s="11" t="n">
        <v>1.44</v>
      </c>
      <c r="H5" s="11" t="s">
        <v>256</v>
      </c>
    </row>
    <row r="6" customFormat="false" ht="17" hidden="false" customHeight="false" outlineLevel="0" collapsed="false">
      <c r="A6" s="1" t="s">
        <v>369</v>
      </c>
      <c r="B6" s="1" t="s">
        <v>20</v>
      </c>
      <c r="C6" s="1" t="s">
        <v>21</v>
      </c>
      <c r="D6" s="1" t="s">
        <v>370</v>
      </c>
      <c r="E6" s="21" t="s">
        <v>418</v>
      </c>
      <c r="F6" s="11" t="s">
        <v>419</v>
      </c>
      <c r="G6" s="11" t="n">
        <v>1.44</v>
      </c>
      <c r="H6" s="11" t="s">
        <v>207</v>
      </c>
    </row>
    <row r="7" customFormat="false" ht="14" hidden="false" customHeight="true" outlineLevel="0" collapsed="false">
      <c r="A7" s="1" t="s">
        <v>92</v>
      </c>
      <c r="B7" s="1" t="s">
        <v>20</v>
      </c>
      <c r="C7" s="1" t="s">
        <v>21</v>
      </c>
      <c r="D7" s="1" t="s">
        <v>93</v>
      </c>
      <c r="E7" s="21" t="s">
        <v>100</v>
      </c>
      <c r="F7" s="11" t="s">
        <v>101</v>
      </c>
      <c r="G7" s="11" t="n">
        <v>1.99</v>
      </c>
      <c r="H7" s="11" t="s">
        <v>1904</v>
      </c>
    </row>
    <row r="8" customFormat="false" ht="17" hidden="false" customHeight="false" outlineLevel="0" collapsed="false">
      <c r="A8" s="1" t="s">
        <v>92</v>
      </c>
      <c r="B8" s="1" t="s">
        <v>20</v>
      </c>
      <c r="C8" s="1" t="s">
        <v>21</v>
      </c>
      <c r="D8" s="1" t="s">
        <v>93</v>
      </c>
      <c r="E8" s="21" t="s">
        <v>350</v>
      </c>
      <c r="F8" s="11" t="s">
        <v>351</v>
      </c>
      <c r="G8" s="11" t="n">
        <v>1.42</v>
      </c>
      <c r="H8" s="11" t="s">
        <v>207</v>
      </c>
    </row>
    <row r="9" customFormat="false" ht="17" hidden="false" customHeight="false" outlineLevel="0" collapsed="false">
      <c r="A9" s="1" t="s">
        <v>92</v>
      </c>
      <c r="B9" s="1" t="s">
        <v>20</v>
      </c>
      <c r="C9" s="1" t="s">
        <v>21</v>
      </c>
      <c r="D9" s="1" t="s">
        <v>93</v>
      </c>
      <c r="E9" s="21" t="s">
        <v>358</v>
      </c>
      <c r="F9" s="11" t="s">
        <v>359</v>
      </c>
      <c r="G9" s="11" t="n">
        <v>1.42</v>
      </c>
      <c r="H9" s="11" t="s">
        <v>207</v>
      </c>
    </row>
    <row r="10" customFormat="false" ht="17" hidden="false" customHeight="false" outlineLevel="0" collapsed="false">
      <c r="A10" s="1" t="s">
        <v>92</v>
      </c>
      <c r="B10" s="1" t="s">
        <v>20</v>
      </c>
      <c r="C10" s="1" t="s">
        <v>21</v>
      </c>
      <c r="D10" s="1" t="s">
        <v>93</v>
      </c>
      <c r="E10" s="21" t="s">
        <v>136</v>
      </c>
      <c r="F10" s="11" t="s">
        <v>1905</v>
      </c>
      <c r="G10" s="11" t="n">
        <v>1.89</v>
      </c>
      <c r="H10" s="11" t="s">
        <v>1906</v>
      </c>
    </row>
    <row r="11" customFormat="false" ht="17" hidden="false" customHeight="false" outlineLevel="0" collapsed="false">
      <c r="A11" s="1" t="s">
        <v>92</v>
      </c>
      <c r="B11" s="1" t="s">
        <v>20</v>
      </c>
      <c r="C11" s="1" t="s">
        <v>21</v>
      </c>
      <c r="D11" s="1" t="s">
        <v>93</v>
      </c>
      <c r="E11" s="21" t="s">
        <v>338</v>
      </c>
      <c r="F11" s="11" t="s">
        <v>1907</v>
      </c>
      <c r="G11" s="11" t="n">
        <v>1.42</v>
      </c>
      <c r="H11" s="11" t="s">
        <v>207</v>
      </c>
    </row>
    <row r="12" customFormat="false" ht="17" hidden="false" customHeight="false" outlineLevel="0" collapsed="false">
      <c r="A12" s="1" t="s">
        <v>92</v>
      </c>
      <c r="B12" s="1" t="s">
        <v>20</v>
      </c>
      <c r="C12" s="1" t="s">
        <v>21</v>
      </c>
      <c r="D12" s="1" t="s">
        <v>93</v>
      </c>
      <c r="E12" s="21" t="s">
        <v>159</v>
      </c>
      <c r="F12" s="11" t="s">
        <v>1908</v>
      </c>
      <c r="G12" s="11" t="n">
        <v>1.8</v>
      </c>
      <c r="H12" s="11" t="s">
        <v>256</v>
      </c>
    </row>
    <row r="13" customFormat="false" ht="17" hidden="false" customHeight="false" outlineLevel="0" collapsed="false">
      <c r="A13" s="1" t="s">
        <v>92</v>
      </c>
      <c r="B13" s="1" t="s">
        <v>20</v>
      </c>
      <c r="C13" s="1" t="s">
        <v>21</v>
      </c>
      <c r="D13" s="1" t="s">
        <v>93</v>
      </c>
      <c r="E13" s="21" t="s">
        <v>179</v>
      </c>
      <c r="F13" s="11" t="s">
        <v>1909</v>
      </c>
      <c r="G13" s="11" t="n">
        <v>1.8</v>
      </c>
      <c r="H13" s="11" t="s">
        <v>104</v>
      </c>
    </row>
    <row r="14" customFormat="false" ht="17" hidden="false" customHeight="false" outlineLevel="0" collapsed="false">
      <c r="A14" s="1" t="s">
        <v>92</v>
      </c>
      <c r="B14" s="1" t="s">
        <v>20</v>
      </c>
      <c r="C14" s="1" t="s">
        <v>21</v>
      </c>
      <c r="D14" s="1" t="s">
        <v>93</v>
      </c>
      <c r="E14" s="21" t="s">
        <v>352</v>
      </c>
      <c r="F14" s="11" t="s">
        <v>353</v>
      </c>
      <c r="G14" s="11" t="n">
        <v>1.42</v>
      </c>
      <c r="H14" s="11" t="s">
        <v>207</v>
      </c>
    </row>
    <row r="15" customFormat="false" ht="17" hidden="false" customHeight="false" outlineLevel="0" collapsed="false">
      <c r="A15" s="1" t="s">
        <v>92</v>
      </c>
      <c r="B15" s="1" t="s">
        <v>20</v>
      </c>
      <c r="C15" s="1" t="s">
        <v>21</v>
      </c>
      <c r="D15" s="1" t="s">
        <v>93</v>
      </c>
      <c r="E15" s="21" t="s">
        <v>132</v>
      </c>
      <c r="F15" s="11" t="s">
        <v>1910</v>
      </c>
      <c r="G15" s="11" t="n">
        <v>1.89</v>
      </c>
      <c r="H15" s="11" t="s">
        <v>1906</v>
      </c>
    </row>
    <row r="16" customFormat="false" ht="17" hidden="false" customHeight="false" outlineLevel="0" collapsed="false">
      <c r="A16" s="1" t="s">
        <v>92</v>
      </c>
      <c r="B16" s="1" t="s">
        <v>20</v>
      </c>
      <c r="C16" s="1" t="s">
        <v>21</v>
      </c>
      <c r="D16" s="1" t="s">
        <v>93</v>
      </c>
      <c r="E16" s="21" t="s">
        <v>326</v>
      </c>
      <c r="F16" s="11" t="s">
        <v>327</v>
      </c>
      <c r="G16" s="11" t="n">
        <v>1.42</v>
      </c>
      <c r="H16" s="11" t="s">
        <v>207</v>
      </c>
    </row>
    <row r="17" customFormat="false" ht="17" hidden="false" customHeight="false" outlineLevel="0" collapsed="false">
      <c r="A17" s="1" t="s">
        <v>92</v>
      </c>
      <c r="B17" s="1" t="s">
        <v>20</v>
      </c>
      <c r="C17" s="1" t="s">
        <v>21</v>
      </c>
      <c r="D17" s="1" t="s">
        <v>93</v>
      </c>
      <c r="E17" s="21" t="s">
        <v>336</v>
      </c>
      <c r="F17" s="11" t="s">
        <v>337</v>
      </c>
      <c r="G17" s="11" t="n">
        <v>1.42</v>
      </c>
      <c r="H17" s="11" t="s">
        <v>207</v>
      </c>
    </row>
    <row r="18" customFormat="false" ht="17" hidden="false" customHeight="false" outlineLevel="0" collapsed="false">
      <c r="A18" s="1" t="s">
        <v>92</v>
      </c>
      <c r="B18" s="1" t="s">
        <v>20</v>
      </c>
      <c r="C18" s="1" t="s">
        <v>21</v>
      </c>
      <c r="D18" s="1" t="s">
        <v>93</v>
      </c>
      <c r="E18" s="21" t="s">
        <v>115</v>
      </c>
      <c r="F18" s="11" t="s">
        <v>1911</v>
      </c>
      <c r="G18" s="11" t="n">
        <v>1.89</v>
      </c>
      <c r="H18" s="11" t="s">
        <v>1906</v>
      </c>
    </row>
    <row r="19" customFormat="false" ht="17" hidden="false" customHeight="false" outlineLevel="0" collapsed="false">
      <c r="A19" s="1" t="s">
        <v>92</v>
      </c>
      <c r="B19" s="1" t="s">
        <v>20</v>
      </c>
      <c r="C19" s="1" t="s">
        <v>21</v>
      </c>
      <c r="D19" s="1" t="s">
        <v>93</v>
      </c>
      <c r="E19" s="21" t="s">
        <v>322</v>
      </c>
      <c r="F19" s="11" t="s">
        <v>323</v>
      </c>
      <c r="G19" s="11" t="n">
        <v>1.42</v>
      </c>
      <c r="H19" s="11" t="s">
        <v>207</v>
      </c>
    </row>
    <row r="20" customFormat="false" ht="17" hidden="false" customHeight="false" outlineLevel="0" collapsed="false">
      <c r="A20" s="1" t="s">
        <v>92</v>
      </c>
      <c r="B20" s="1" t="s">
        <v>20</v>
      </c>
      <c r="C20" s="1" t="s">
        <v>21</v>
      </c>
      <c r="D20" s="1" t="s">
        <v>93</v>
      </c>
      <c r="E20" s="21" t="s">
        <v>289</v>
      </c>
      <c r="F20" s="11" t="s">
        <v>290</v>
      </c>
      <c r="G20" s="11" t="n">
        <v>1.42</v>
      </c>
      <c r="H20" s="11" t="s">
        <v>207</v>
      </c>
    </row>
    <row r="21" customFormat="false" ht="17" hidden="false" customHeight="false" outlineLevel="0" collapsed="false">
      <c r="A21" s="1" t="s">
        <v>92</v>
      </c>
      <c r="B21" s="1" t="s">
        <v>20</v>
      </c>
      <c r="C21" s="1" t="s">
        <v>21</v>
      </c>
      <c r="D21" s="1" t="s">
        <v>93</v>
      </c>
      <c r="E21" s="21" t="s">
        <v>134</v>
      </c>
      <c r="F21" s="11" t="s">
        <v>1912</v>
      </c>
      <c r="G21" s="11" t="n">
        <v>1.89</v>
      </c>
      <c r="H21" s="11" t="s">
        <v>1906</v>
      </c>
    </row>
    <row r="22" customFormat="false" ht="17" hidden="false" customHeight="false" outlineLevel="0" collapsed="false">
      <c r="A22" s="1" t="s">
        <v>92</v>
      </c>
      <c r="B22" s="1" t="s">
        <v>20</v>
      </c>
      <c r="C22" s="1" t="s">
        <v>21</v>
      </c>
      <c r="D22" s="1" t="s">
        <v>93</v>
      </c>
      <c r="E22" s="21" t="s">
        <v>482</v>
      </c>
      <c r="F22" s="11" t="s">
        <v>483</v>
      </c>
      <c r="G22" s="11" t="n">
        <v>2.13</v>
      </c>
      <c r="H22" s="11" t="s">
        <v>404</v>
      </c>
    </row>
    <row r="23" customFormat="false" ht="17" hidden="false" customHeight="false" outlineLevel="0" collapsed="false">
      <c r="A23" s="1" t="s">
        <v>92</v>
      </c>
      <c r="B23" s="1" t="s">
        <v>20</v>
      </c>
      <c r="C23" s="1" t="s">
        <v>21</v>
      </c>
      <c r="D23" s="1" t="s">
        <v>93</v>
      </c>
      <c r="E23" s="21" t="s">
        <v>362</v>
      </c>
      <c r="F23" s="11" t="s">
        <v>363</v>
      </c>
      <c r="G23" s="11" t="n">
        <v>1.42</v>
      </c>
      <c r="H23" s="11" t="s">
        <v>207</v>
      </c>
    </row>
    <row r="24" customFormat="false" ht="17" hidden="false" customHeight="false" outlineLevel="0" collapsed="false">
      <c r="A24" s="1" t="s">
        <v>92</v>
      </c>
      <c r="B24" s="1" t="s">
        <v>20</v>
      </c>
      <c r="C24" s="1" t="s">
        <v>21</v>
      </c>
      <c r="D24" s="1" t="s">
        <v>93</v>
      </c>
      <c r="E24" s="21" t="s">
        <v>117</v>
      </c>
      <c r="F24" s="11" t="s">
        <v>1913</v>
      </c>
      <c r="G24" s="11" t="n">
        <v>1.89</v>
      </c>
      <c r="H24" s="11" t="s">
        <v>1906</v>
      </c>
    </row>
    <row r="25" customFormat="false" ht="17" hidden="false" customHeight="false" outlineLevel="0" collapsed="false">
      <c r="A25" s="1" t="s">
        <v>92</v>
      </c>
      <c r="B25" s="1" t="s">
        <v>20</v>
      </c>
      <c r="C25" s="1" t="s">
        <v>21</v>
      </c>
      <c r="D25" s="1" t="s">
        <v>93</v>
      </c>
      <c r="E25" s="21" t="s">
        <v>271</v>
      </c>
      <c r="F25" s="11" t="s">
        <v>272</v>
      </c>
      <c r="G25" s="11" t="n">
        <v>1.76</v>
      </c>
      <c r="H25" s="11" t="s">
        <v>1914</v>
      </c>
    </row>
    <row r="26" customFormat="false" ht="17" hidden="false" customHeight="false" outlineLevel="0" collapsed="false">
      <c r="A26" s="1" t="s">
        <v>92</v>
      </c>
      <c r="B26" s="1" t="s">
        <v>20</v>
      </c>
      <c r="C26" s="1" t="s">
        <v>21</v>
      </c>
      <c r="D26" s="1" t="s">
        <v>93</v>
      </c>
      <c r="E26" s="21" t="s">
        <v>324</v>
      </c>
      <c r="F26" s="11" t="s">
        <v>1915</v>
      </c>
      <c r="G26" s="11" t="n">
        <v>1.42</v>
      </c>
      <c r="H26" s="11" t="s">
        <v>207</v>
      </c>
    </row>
    <row r="27" customFormat="false" ht="17" hidden="false" customHeight="false" outlineLevel="0" collapsed="false">
      <c r="A27" s="1" t="s">
        <v>504</v>
      </c>
      <c r="B27" s="1" t="s">
        <v>504</v>
      </c>
      <c r="C27" s="1" t="s">
        <v>504</v>
      </c>
      <c r="D27" s="1" t="s">
        <v>504</v>
      </c>
      <c r="E27" s="21" t="s">
        <v>975</v>
      </c>
      <c r="F27" s="11" t="s">
        <v>976</v>
      </c>
      <c r="G27" s="11" t="n">
        <v>1.68</v>
      </c>
      <c r="H27" s="11" t="s">
        <v>972</v>
      </c>
    </row>
    <row r="28" customFormat="false" ht="14" hidden="false" customHeight="true" outlineLevel="0" collapsed="false">
      <c r="A28" s="1" t="s">
        <v>504</v>
      </c>
      <c r="B28" s="1" t="s">
        <v>504</v>
      </c>
      <c r="C28" s="1" t="s">
        <v>504</v>
      </c>
      <c r="D28" s="1" t="s">
        <v>504</v>
      </c>
      <c r="E28" s="21" t="s">
        <v>1032</v>
      </c>
      <c r="F28" s="11" t="s">
        <v>1033</v>
      </c>
      <c r="G28" s="11" t="n">
        <v>2.68</v>
      </c>
      <c r="H28" s="11" t="s">
        <v>1916</v>
      </c>
    </row>
    <row r="29" customFormat="false" ht="17" hidden="false" customHeight="false" outlineLevel="0" collapsed="false">
      <c r="A29" s="1" t="s">
        <v>504</v>
      </c>
      <c r="B29" s="1" t="s">
        <v>504</v>
      </c>
      <c r="C29" s="1" t="s">
        <v>504</v>
      </c>
      <c r="D29" s="1" t="s">
        <v>504</v>
      </c>
      <c r="E29" s="21" t="s">
        <v>860</v>
      </c>
      <c r="F29" s="11" t="s">
        <v>861</v>
      </c>
      <c r="G29" s="11" t="n">
        <v>2.19</v>
      </c>
      <c r="H29" s="11" t="s">
        <v>1917</v>
      </c>
    </row>
    <row r="30" customFormat="false" ht="17" hidden="false" customHeight="false" outlineLevel="0" collapsed="false">
      <c r="A30" s="1" t="s">
        <v>504</v>
      </c>
      <c r="B30" s="1" t="s">
        <v>504</v>
      </c>
      <c r="C30" s="1" t="s">
        <v>504</v>
      </c>
      <c r="D30" s="1" t="s">
        <v>504</v>
      </c>
      <c r="E30" s="21" t="s">
        <v>817</v>
      </c>
      <c r="F30" s="11" t="s">
        <v>818</v>
      </c>
      <c r="G30" s="11" t="n">
        <v>1.44</v>
      </c>
      <c r="H30" s="11" t="s">
        <v>104</v>
      </c>
    </row>
    <row r="31" customFormat="false" ht="17" hidden="false" customHeight="false" outlineLevel="0" collapsed="false">
      <c r="A31" s="1" t="s">
        <v>504</v>
      </c>
      <c r="B31" s="1" t="s">
        <v>504</v>
      </c>
      <c r="C31" s="1" t="s">
        <v>504</v>
      </c>
      <c r="D31" s="1" t="s">
        <v>504</v>
      </c>
      <c r="E31" s="21" t="s">
        <v>685</v>
      </c>
      <c r="F31" s="11" t="s">
        <v>686</v>
      </c>
      <c r="G31" s="11" t="n">
        <v>1.44</v>
      </c>
      <c r="H31" s="11" t="s">
        <v>207</v>
      </c>
    </row>
    <row r="32" customFormat="false" ht="17" hidden="false" customHeight="false" outlineLevel="0" collapsed="false">
      <c r="A32" s="1" t="s">
        <v>504</v>
      </c>
      <c r="B32" s="1" t="s">
        <v>504</v>
      </c>
      <c r="C32" s="1" t="s">
        <v>504</v>
      </c>
      <c r="D32" s="1" t="s">
        <v>504</v>
      </c>
      <c r="E32" s="21" t="s">
        <v>811</v>
      </c>
      <c r="F32" s="11" t="s">
        <v>812</v>
      </c>
      <c r="G32" s="11" t="n">
        <v>1.44</v>
      </c>
      <c r="H32" s="11" t="s">
        <v>256</v>
      </c>
    </row>
    <row r="33" customFormat="false" ht="17" hidden="false" customHeight="false" outlineLevel="0" collapsed="false">
      <c r="A33" s="1" t="s">
        <v>504</v>
      </c>
      <c r="B33" s="1" t="s">
        <v>504</v>
      </c>
      <c r="C33" s="1" t="s">
        <v>504</v>
      </c>
      <c r="D33" s="1" t="s">
        <v>504</v>
      </c>
      <c r="E33" s="21" t="s">
        <v>683</v>
      </c>
      <c r="F33" s="11" t="s">
        <v>1918</v>
      </c>
      <c r="G33" s="11" t="n">
        <v>1.44</v>
      </c>
      <c r="H33" s="11" t="s">
        <v>207</v>
      </c>
    </row>
    <row r="34" customFormat="false" ht="17" hidden="false" customHeight="false" outlineLevel="0" collapsed="false">
      <c r="A34" s="1" t="s">
        <v>504</v>
      </c>
      <c r="B34" s="1" t="s">
        <v>504</v>
      </c>
      <c r="C34" s="1" t="s">
        <v>504</v>
      </c>
      <c r="D34" s="1" t="s">
        <v>504</v>
      </c>
      <c r="E34" s="21" t="s">
        <v>709</v>
      </c>
      <c r="F34" s="11" t="s">
        <v>710</v>
      </c>
      <c r="G34" s="11" t="n">
        <v>1.44</v>
      </c>
      <c r="H34" s="11" t="s">
        <v>207</v>
      </c>
    </row>
    <row r="35" customFormat="false" ht="17" hidden="false" customHeight="false" outlineLevel="0" collapsed="false">
      <c r="A35" s="1" t="s">
        <v>504</v>
      </c>
      <c r="B35" s="1" t="s">
        <v>504</v>
      </c>
      <c r="C35" s="1" t="s">
        <v>504</v>
      </c>
      <c r="D35" s="1" t="s">
        <v>504</v>
      </c>
      <c r="E35" s="21" t="s">
        <v>803</v>
      </c>
      <c r="F35" s="11" t="s">
        <v>804</v>
      </c>
      <c r="G35" s="11" t="n">
        <v>1.44</v>
      </c>
      <c r="H35" s="11" t="s">
        <v>256</v>
      </c>
    </row>
    <row r="36" customFormat="false" ht="17" hidden="false" customHeight="false" outlineLevel="0" collapsed="false">
      <c r="A36" s="1" t="s">
        <v>504</v>
      </c>
      <c r="B36" s="1" t="s">
        <v>504</v>
      </c>
      <c r="C36" s="1" t="s">
        <v>504</v>
      </c>
      <c r="D36" s="1" t="s">
        <v>504</v>
      </c>
      <c r="E36" s="21" t="s">
        <v>809</v>
      </c>
      <c r="F36" s="11" t="s">
        <v>810</v>
      </c>
      <c r="G36" s="11" t="n">
        <v>1.44</v>
      </c>
      <c r="H36" s="11" t="s">
        <v>256</v>
      </c>
    </row>
    <row r="37" customFormat="false" ht="17" hidden="false" customHeight="false" outlineLevel="0" collapsed="false">
      <c r="A37" s="1" t="s">
        <v>504</v>
      </c>
      <c r="B37" s="1" t="s">
        <v>504</v>
      </c>
      <c r="C37" s="1" t="s">
        <v>504</v>
      </c>
      <c r="D37" s="1" t="s">
        <v>504</v>
      </c>
      <c r="E37" s="21" t="s">
        <v>701</v>
      </c>
      <c r="F37" s="11" t="s">
        <v>702</v>
      </c>
      <c r="G37" s="11" t="n">
        <v>1.44</v>
      </c>
      <c r="H37" s="11" t="s">
        <v>207</v>
      </c>
    </row>
    <row r="38" customFormat="false" ht="17" hidden="false" customHeight="false" outlineLevel="0" collapsed="false">
      <c r="A38" s="1" t="s">
        <v>504</v>
      </c>
      <c r="B38" s="1" t="s">
        <v>504</v>
      </c>
      <c r="C38" s="1" t="s">
        <v>504</v>
      </c>
      <c r="D38" s="1" t="s">
        <v>504</v>
      </c>
      <c r="E38" s="21" t="s">
        <v>880</v>
      </c>
      <c r="F38" s="11" t="s">
        <v>881</v>
      </c>
      <c r="G38" s="11" t="n">
        <v>2.56</v>
      </c>
      <c r="H38" s="11" t="s">
        <v>297</v>
      </c>
    </row>
    <row r="39" customFormat="false" ht="17" hidden="false" customHeight="false" outlineLevel="0" collapsed="false">
      <c r="A39" s="1" t="s">
        <v>504</v>
      </c>
      <c r="B39" s="1" t="s">
        <v>504</v>
      </c>
      <c r="C39" s="1" t="s">
        <v>504</v>
      </c>
      <c r="D39" s="1" t="s">
        <v>504</v>
      </c>
      <c r="E39" s="21" t="s">
        <v>855</v>
      </c>
      <c r="F39" s="11" t="s">
        <v>856</v>
      </c>
      <c r="G39" s="11" t="n">
        <v>1.44</v>
      </c>
      <c r="H39" s="11" t="s">
        <v>104</v>
      </c>
    </row>
    <row r="40" customFormat="false" ht="17" hidden="false" customHeight="false" outlineLevel="0" collapsed="false">
      <c r="A40" s="1" t="s">
        <v>504</v>
      </c>
      <c r="B40" s="1" t="s">
        <v>504</v>
      </c>
      <c r="C40" s="1" t="s">
        <v>504</v>
      </c>
      <c r="D40" s="1" t="s">
        <v>504</v>
      </c>
      <c r="E40" s="21" t="s">
        <v>883</v>
      </c>
      <c r="F40" s="11" t="s">
        <v>884</v>
      </c>
      <c r="G40" s="11" t="n">
        <v>2.56</v>
      </c>
      <c r="H40" s="11" t="s">
        <v>297</v>
      </c>
    </row>
    <row r="41" customFormat="false" ht="17" hidden="false" customHeight="false" outlineLevel="0" collapsed="false">
      <c r="A41" s="1" t="s">
        <v>504</v>
      </c>
      <c r="B41" s="1" t="s">
        <v>504</v>
      </c>
      <c r="C41" s="1" t="s">
        <v>504</v>
      </c>
      <c r="D41" s="1" t="s">
        <v>504</v>
      </c>
      <c r="E41" s="21" t="s">
        <v>522</v>
      </c>
      <c r="F41" s="11" t="s">
        <v>1919</v>
      </c>
      <c r="G41" s="11" t="n">
        <v>2.88</v>
      </c>
      <c r="H41" s="11" t="s">
        <v>1920</v>
      </c>
    </row>
    <row r="42" customFormat="false" ht="17" hidden="false" customHeight="false" outlineLevel="0" collapsed="false">
      <c r="A42" s="1" t="s">
        <v>504</v>
      </c>
      <c r="B42" s="1" t="s">
        <v>504</v>
      </c>
      <c r="C42" s="1" t="s">
        <v>504</v>
      </c>
      <c r="D42" s="1" t="s">
        <v>504</v>
      </c>
      <c r="E42" s="21" t="s">
        <v>865</v>
      </c>
      <c r="F42" s="11" t="s">
        <v>866</v>
      </c>
      <c r="G42" s="11" t="n">
        <v>2.25</v>
      </c>
      <c r="H42" s="11" t="s">
        <v>1921</v>
      </c>
    </row>
    <row r="43" customFormat="false" ht="17" hidden="false" customHeight="false" outlineLevel="0" collapsed="false">
      <c r="A43" s="1" t="s">
        <v>504</v>
      </c>
      <c r="B43" s="1" t="s">
        <v>504</v>
      </c>
      <c r="C43" s="1" t="s">
        <v>504</v>
      </c>
      <c r="D43" s="1" t="s">
        <v>504</v>
      </c>
      <c r="E43" s="21" t="s">
        <v>631</v>
      </c>
      <c r="F43" s="11" t="s">
        <v>632</v>
      </c>
      <c r="G43" s="11" t="n">
        <v>1.44</v>
      </c>
      <c r="H43" s="11" t="s">
        <v>207</v>
      </c>
    </row>
    <row r="44" customFormat="false" ht="17" hidden="false" customHeight="false" outlineLevel="0" collapsed="false">
      <c r="A44" s="1" t="s">
        <v>504</v>
      </c>
      <c r="B44" s="1" t="s">
        <v>504</v>
      </c>
      <c r="C44" s="1" t="s">
        <v>504</v>
      </c>
      <c r="D44" s="1" t="s">
        <v>504</v>
      </c>
      <c r="E44" s="21" t="s">
        <v>870</v>
      </c>
      <c r="F44" s="11" t="s">
        <v>871</v>
      </c>
      <c r="G44" s="11" t="n">
        <v>2.25</v>
      </c>
      <c r="H44" s="11" t="s">
        <v>1921</v>
      </c>
    </row>
    <row r="45" customFormat="false" ht="17" hidden="false" customHeight="false" outlineLevel="0" collapsed="false">
      <c r="A45" s="1" t="s">
        <v>504</v>
      </c>
      <c r="B45" s="1" t="s">
        <v>504</v>
      </c>
      <c r="C45" s="1" t="s">
        <v>504</v>
      </c>
      <c r="D45" s="1" t="s">
        <v>504</v>
      </c>
      <c r="E45" s="21" t="s">
        <v>993</v>
      </c>
      <c r="F45" s="11" t="s">
        <v>1922</v>
      </c>
      <c r="G45" s="11" t="n">
        <v>2.88</v>
      </c>
      <c r="H45" s="11" t="s">
        <v>207</v>
      </c>
    </row>
    <row r="46" customFormat="false" ht="17" hidden="false" customHeight="false" outlineLevel="0" collapsed="false">
      <c r="A46" s="1" t="s">
        <v>504</v>
      </c>
      <c r="B46" s="1" t="s">
        <v>504</v>
      </c>
      <c r="C46" s="1" t="s">
        <v>504</v>
      </c>
      <c r="D46" s="1" t="s">
        <v>504</v>
      </c>
      <c r="E46" s="21" t="s">
        <v>872</v>
      </c>
      <c r="F46" s="11" t="s">
        <v>873</v>
      </c>
      <c r="G46" s="11" t="n">
        <v>2.25</v>
      </c>
      <c r="H46" s="11" t="s">
        <v>1921</v>
      </c>
    </row>
    <row r="47" customFormat="false" ht="17" hidden="false" customHeight="false" outlineLevel="0" collapsed="false">
      <c r="A47" s="1" t="s">
        <v>504</v>
      </c>
      <c r="B47" s="1" t="s">
        <v>504</v>
      </c>
      <c r="C47" s="1" t="s">
        <v>504</v>
      </c>
      <c r="D47" s="1" t="s">
        <v>504</v>
      </c>
      <c r="E47" s="21" t="s">
        <v>531</v>
      </c>
      <c r="F47" s="11" t="s">
        <v>532</v>
      </c>
      <c r="G47" s="11" t="n">
        <v>2.88</v>
      </c>
      <c r="H47" s="11" t="s">
        <v>1920</v>
      </c>
    </row>
    <row r="48" customFormat="false" ht="17" hidden="false" customHeight="false" outlineLevel="0" collapsed="false">
      <c r="A48" s="1" t="s">
        <v>504</v>
      </c>
      <c r="B48" s="1" t="s">
        <v>504</v>
      </c>
      <c r="C48" s="1" t="s">
        <v>504</v>
      </c>
      <c r="D48" s="1" t="s">
        <v>504</v>
      </c>
      <c r="E48" s="21" t="s">
        <v>543</v>
      </c>
      <c r="F48" s="11" t="s">
        <v>544</v>
      </c>
      <c r="G48" s="11" t="n">
        <v>1.2</v>
      </c>
      <c r="H48" s="11" t="s">
        <v>270</v>
      </c>
    </row>
    <row r="49" customFormat="false" ht="17" hidden="false" customHeight="false" outlineLevel="0" collapsed="false">
      <c r="A49" s="1" t="s">
        <v>19</v>
      </c>
      <c r="B49" s="1" t="s">
        <v>20</v>
      </c>
      <c r="C49" s="1" t="s">
        <v>21</v>
      </c>
      <c r="D49" s="1" t="s">
        <v>22</v>
      </c>
      <c r="E49" s="21" t="n">
        <v>522990442067441</v>
      </c>
      <c r="F49" s="11" t="s">
        <v>346</v>
      </c>
      <c r="G49" s="11" t="n">
        <v>1.44</v>
      </c>
      <c r="H49" s="11" t="s">
        <v>207</v>
      </c>
    </row>
    <row r="50" customFormat="false" ht="17" hidden="false" customHeight="false" outlineLevel="0" collapsed="false">
      <c r="A50" s="1" t="s">
        <v>19</v>
      </c>
      <c r="B50" s="1" t="s">
        <v>20</v>
      </c>
      <c r="C50" s="1" t="s">
        <v>21</v>
      </c>
      <c r="D50" s="1" t="s">
        <v>22</v>
      </c>
      <c r="E50" s="21" t="n">
        <v>522676325343061</v>
      </c>
      <c r="F50" s="11" t="s">
        <v>68</v>
      </c>
      <c r="G50" s="11" t="n">
        <v>1.64</v>
      </c>
      <c r="H50" s="11" t="s">
        <v>69</v>
      </c>
    </row>
    <row r="51" customFormat="false" ht="17" hidden="false" customHeight="false" outlineLevel="0" collapsed="false">
      <c r="A51" s="1" t="s">
        <v>19</v>
      </c>
      <c r="B51" s="1" t="s">
        <v>20</v>
      </c>
      <c r="C51" s="1" t="s">
        <v>21</v>
      </c>
      <c r="D51" s="1" t="s">
        <v>22</v>
      </c>
      <c r="E51" s="21" t="n">
        <v>522533143067011</v>
      </c>
      <c r="F51" s="11" t="s">
        <v>267</v>
      </c>
      <c r="G51" s="11" t="n">
        <v>1.8</v>
      </c>
      <c r="H51" s="11" t="s">
        <v>256</v>
      </c>
    </row>
    <row r="52" customFormat="false" ht="17" hidden="false" customHeight="false" outlineLevel="0" collapsed="false">
      <c r="A52" s="1" t="s">
        <v>369</v>
      </c>
      <c r="B52" s="1" t="s">
        <v>20</v>
      </c>
      <c r="C52" s="1" t="s">
        <v>21</v>
      </c>
      <c r="D52" s="1" t="s">
        <v>370</v>
      </c>
      <c r="E52" s="1" t="s">
        <v>402</v>
      </c>
      <c r="F52" s="1" t="s">
        <v>403</v>
      </c>
      <c r="G52" s="1" t="n">
        <v>2.13</v>
      </c>
      <c r="H52" s="11" t="s">
        <v>404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2025-12-30T20:41:37Z</dcterms:created>
  <dc:creator/>
  <dc:description/>
  <dc:language>es-MX</dc:language>
  <cp:lastModifiedBy/>
  <cp:revision>0</cp:revision>
  <dc:subject/>
  <dc:title/>
</cp:coreProperties>
</file>